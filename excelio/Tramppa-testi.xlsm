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Administrator\Documents\visual studio 2015\Projects\excelio\excelio\"/>
    </mc:Choice>
  </mc:AlternateContent>
  <bookViews>
    <workbookView xWindow="0" yWindow="0" windowWidth="24000" windowHeight="9510" firstSheet="1" activeTab="1"/>
  </bookViews>
  <sheets>
    <sheet name="DataEntry" sheetId="1" r:id="rId1"/>
    <sheet name="DataRows" sheetId="2" r:id="rId2"/>
    <sheet name="Results" sheetId="4" r:id="rId3"/>
  </sheets>
  <definedNames>
    <definedName name="ExternalData_1" localSheetId="2" hidden="1">Results!$A$1:$Z$10</definedName>
    <definedName name="Kilpailija">Table1[[#Headers],[Kilpailija]]</definedName>
    <definedName name="LK3Tytöt">DataEntry!$N$4:$N$21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1" l="1"/>
  <c r="S6" i="1"/>
  <c r="T6" i="1"/>
  <c r="U6" i="1"/>
  <c r="M6" i="1" s="1"/>
  <c r="V6" i="1"/>
  <c r="W6" i="1"/>
  <c r="X6" i="1"/>
  <c r="R7" i="1"/>
  <c r="U7" i="1" s="1"/>
  <c r="M7" i="1" s="1"/>
  <c r="X5" i="2" s="1"/>
  <c r="S7" i="1"/>
  <c r="T7" i="1"/>
  <c r="V7" i="1"/>
  <c r="W7" i="1"/>
  <c r="X7" i="1"/>
  <c r="R8" i="1"/>
  <c r="U8" i="1" s="1"/>
  <c r="M8" i="1" s="1"/>
  <c r="S8" i="1"/>
  <c r="T8" i="1"/>
  <c r="V8" i="1"/>
  <c r="W8" i="1"/>
  <c r="X8" i="1"/>
  <c r="R9" i="1"/>
  <c r="S9" i="1"/>
  <c r="U9" i="1" s="1"/>
  <c r="M9" i="1" s="1"/>
  <c r="X6" i="2" s="1"/>
  <c r="T9" i="1"/>
  <c r="V9" i="1"/>
  <c r="W9" i="1"/>
  <c r="X9" i="1"/>
  <c r="R10" i="1"/>
  <c r="S10" i="1"/>
  <c r="T10" i="1"/>
  <c r="U10" i="1"/>
  <c r="M10" i="1" s="1"/>
  <c r="V10" i="1"/>
  <c r="W10" i="1"/>
  <c r="X10" i="1"/>
  <c r="R11" i="1"/>
  <c r="U11" i="1" s="1"/>
  <c r="M11" i="1" s="1"/>
  <c r="X7" i="2" s="1"/>
  <c r="S11" i="1"/>
  <c r="T11" i="1"/>
  <c r="V11" i="1"/>
  <c r="W11" i="1"/>
  <c r="X11" i="1"/>
  <c r="R12" i="1"/>
  <c r="U12" i="1" s="1"/>
  <c r="M12" i="1" s="1"/>
  <c r="S12" i="1"/>
  <c r="T12" i="1"/>
  <c r="V12" i="1"/>
  <c r="W12" i="1"/>
  <c r="X12" i="1"/>
  <c r="R13" i="1"/>
  <c r="S13" i="1"/>
  <c r="T13" i="1"/>
  <c r="U13" i="1" s="1"/>
  <c r="M13" i="1" s="1"/>
  <c r="X8" i="2" s="1"/>
  <c r="V13" i="1"/>
  <c r="W13" i="1"/>
  <c r="X13" i="1"/>
  <c r="R14" i="1"/>
  <c r="S14" i="1"/>
  <c r="T14" i="1"/>
  <c r="U14" i="1"/>
  <c r="M14" i="1" s="1"/>
  <c r="V14" i="1"/>
  <c r="W14" i="1"/>
  <c r="X14" i="1"/>
  <c r="R15" i="1"/>
  <c r="U15" i="1" s="1"/>
  <c r="M15" i="1" s="1"/>
  <c r="X9" i="2" s="1"/>
  <c r="S15" i="1"/>
  <c r="T15" i="1"/>
  <c r="V15" i="1"/>
  <c r="W15" i="1"/>
  <c r="X15" i="1"/>
  <c r="R16" i="1"/>
  <c r="U16" i="1" s="1"/>
  <c r="M16" i="1" s="1"/>
  <c r="S16" i="1"/>
  <c r="T16" i="1"/>
  <c r="V16" i="1"/>
  <c r="W16" i="1"/>
  <c r="X16" i="1"/>
  <c r="R17" i="1"/>
  <c r="S17" i="1"/>
  <c r="T17" i="1"/>
  <c r="U17" i="1" s="1"/>
  <c r="M17" i="1" s="1"/>
  <c r="X10" i="2" s="1"/>
  <c r="V17" i="1"/>
  <c r="W17" i="1"/>
  <c r="X17" i="1"/>
  <c r="R18" i="1"/>
  <c r="S18" i="1"/>
  <c r="T18" i="1"/>
  <c r="U18" i="1"/>
  <c r="M18" i="1" s="1"/>
  <c r="V18" i="1"/>
  <c r="W18" i="1"/>
  <c r="X18" i="1"/>
  <c r="R19" i="1"/>
  <c r="U19" i="1" s="1"/>
  <c r="M19" i="1" s="1"/>
  <c r="X11" i="2" s="1"/>
  <c r="S19" i="1"/>
  <c r="T19" i="1"/>
  <c r="V19" i="1"/>
  <c r="W19" i="1"/>
  <c r="X19" i="1"/>
  <c r="R20" i="1"/>
  <c r="U20" i="1" s="1"/>
  <c r="S20" i="1"/>
  <c r="T20" i="1"/>
  <c r="V20" i="1"/>
  <c r="W20" i="1"/>
  <c r="X20" i="1"/>
  <c r="R21" i="1"/>
  <c r="S21" i="1"/>
  <c r="T21" i="1"/>
  <c r="U21" i="1" s="1"/>
  <c r="M21" i="1" s="1"/>
  <c r="X12" i="2" s="1"/>
  <c r="V21" i="1"/>
  <c r="W21" i="1"/>
  <c r="X21" i="1"/>
  <c r="X5" i="1"/>
  <c r="W5" i="1"/>
  <c r="V5" i="1"/>
  <c r="U5" i="1"/>
  <c r="M5" i="1" s="1"/>
  <c r="X4" i="2" s="1"/>
  <c r="T5" i="1"/>
  <c r="S5" i="1"/>
  <c r="R5" i="1"/>
  <c r="X4" i="1"/>
  <c r="W4" i="1"/>
  <c r="V4" i="1"/>
  <c r="T4" i="1"/>
  <c r="S4" i="1"/>
  <c r="U4" i="1" s="1"/>
  <c r="M4" i="1" s="1"/>
  <c r="R4" i="1"/>
  <c r="V12" i="2"/>
  <c r="U12" i="2"/>
  <c r="T12" i="2"/>
  <c r="S12" i="2"/>
  <c r="R12" i="2"/>
  <c r="Q12" i="2"/>
  <c r="P12" i="2"/>
  <c r="O12" i="2"/>
  <c r="N12" i="2"/>
  <c r="K12" i="2"/>
  <c r="J12" i="2"/>
  <c r="I12" i="2"/>
  <c r="H12" i="2"/>
  <c r="G12" i="2"/>
  <c r="F12" i="2"/>
  <c r="E12" i="2"/>
  <c r="D12" i="2"/>
  <c r="C12" i="2"/>
  <c r="A12" i="2"/>
  <c r="V11" i="2"/>
  <c r="U11" i="2"/>
  <c r="T11" i="2"/>
  <c r="S11" i="2"/>
  <c r="R11" i="2"/>
  <c r="Q11" i="2"/>
  <c r="P11" i="2"/>
  <c r="O11" i="2"/>
  <c r="N11" i="2"/>
  <c r="K11" i="2"/>
  <c r="J11" i="2"/>
  <c r="I11" i="2"/>
  <c r="H11" i="2"/>
  <c r="G11" i="2"/>
  <c r="F11" i="2"/>
  <c r="E11" i="2"/>
  <c r="D11" i="2"/>
  <c r="C11" i="2"/>
  <c r="A11" i="2"/>
  <c r="V10" i="2"/>
  <c r="U10" i="2"/>
  <c r="T10" i="2"/>
  <c r="S10" i="2"/>
  <c r="R10" i="2"/>
  <c r="Q10" i="2"/>
  <c r="P10" i="2"/>
  <c r="O10" i="2"/>
  <c r="N10" i="2"/>
  <c r="K10" i="2"/>
  <c r="J10" i="2"/>
  <c r="I10" i="2"/>
  <c r="H10" i="2"/>
  <c r="G10" i="2"/>
  <c r="F10" i="2"/>
  <c r="E10" i="2"/>
  <c r="D10" i="2"/>
  <c r="C10" i="2"/>
  <c r="A10" i="2"/>
  <c r="V9" i="2"/>
  <c r="U9" i="2"/>
  <c r="T9" i="2"/>
  <c r="S9" i="2"/>
  <c r="R9" i="2"/>
  <c r="Q9" i="2"/>
  <c r="P9" i="2"/>
  <c r="O9" i="2"/>
  <c r="N9" i="2"/>
  <c r="K9" i="2"/>
  <c r="J9" i="2"/>
  <c r="I9" i="2"/>
  <c r="H9" i="2"/>
  <c r="G9" i="2"/>
  <c r="F9" i="2"/>
  <c r="E9" i="2"/>
  <c r="D9" i="2"/>
  <c r="C9" i="2"/>
  <c r="A9" i="2"/>
  <c r="A5" i="2"/>
  <c r="C5" i="2"/>
  <c r="D5" i="2"/>
  <c r="E5" i="2"/>
  <c r="F5" i="2"/>
  <c r="G5" i="2"/>
  <c r="H5" i="2"/>
  <c r="I5" i="2"/>
  <c r="J5" i="2"/>
  <c r="K5" i="2"/>
  <c r="N5" i="2"/>
  <c r="O5" i="2"/>
  <c r="P5" i="2"/>
  <c r="Q5" i="2"/>
  <c r="R5" i="2"/>
  <c r="S5" i="2"/>
  <c r="T5" i="2"/>
  <c r="U5" i="2"/>
  <c r="V5" i="2"/>
  <c r="A6" i="2"/>
  <c r="C6" i="2"/>
  <c r="D6" i="2"/>
  <c r="E6" i="2"/>
  <c r="F6" i="2"/>
  <c r="G6" i="2"/>
  <c r="H6" i="2"/>
  <c r="I6" i="2"/>
  <c r="J6" i="2"/>
  <c r="K6" i="2"/>
  <c r="N6" i="2"/>
  <c r="O6" i="2"/>
  <c r="P6" i="2"/>
  <c r="Q6" i="2"/>
  <c r="R6" i="2"/>
  <c r="S6" i="2"/>
  <c r="T6" i="2"/>
  <c r="U6" i="2"/>
  <c r="V6" i="2"/>
  <c r="A7" i="2"/>
  <c r="C7" i="2"/>
  <c r="D7" i="2"/>
  <c r="E7" i="2"/>
  <c r="F7" i="2"/>
  <c r="G7" i="2"/>
  <c r="H7" i="2"/>
  <c r="I7" i="2"/>
  <c r="J7" i="2"/>
  <c r="K7" i="2"/>
  <c r="N7" i="2"/>
  <c r="O7" i="2"/>
  <c r="P7" i="2"/>
  <c r="Q7" i="2"/>
  <c r="R7" i="2"/>
  <c r="S7" i="2"/>
  <c r="T7" i="2"/>
  <c r="U7" i="2"/>
  <c r="V7" i="2"/>
  <c r="A8" i="2"/>
  <c r="C8" i="2"/>
  <c r="D8" i="2"/>
  <c r="E8" i="2"/>
  <c r="F8" i="2"/>
  <c r="G8" i="2"/>
  <c r="H8" i="2"/>
  <c r="I8" i="2"/>
  <c r="J8" i="2"/>
  <c r="K8" i="2"/>
  <c r="N8" i="2"/>
  <c r="O8" i="2"/>
  <c r="P8" i="2"/>
  <c r="Q8" i="2"/>
  <c r="R8" i="2"/>
  <c r="S8" i="2"/>
  <c r="T8" i="2"/>
  <c r="U8" i="2"/>
  <c r="V8" i="2"/>
  <c r="O4" i="2"/>
  <c r="P4" i="2"/>
  <c r="Q4" i="2"/>
  <c r="R4" i="2"/>
  <c r="S4" i="2"/>
  <c r="T4" i="2"/>
  <c r="U4" i="2"/>
  <c r="V4" i="2"/>
  <c r="N4" i="2"/>
  <c r="E4" i="2"/>
  <c r="F4" i="2"/>
  <c r="G4" i="2"/>
  <c r="H4" i="2"/>
  <c r="I4" i="2"/>
  <c r="J4" i="2"/>
  <c r="K4" i="2"/>
  <c r="D4" i="2"/>
  <c r="C4" i="2"/>
  <c r="A4" i="2"/>
  <c r="M20" i="1" l="1"/>
  <c r="N21" i="1" s="1"/>
  <c r="O21" i="1" s="1"/>
  <c r="N17" i="1"/>
  <c r="Y10" i="2" s="1"/>
  <c r="M10" i="2"/>
  <c r="N7" i="1"/>
  <c r="Y5" i="2" s="1"/>
  <c r="M5" i="2"/>
  <c r="N19" i="1"/>
  <c r="Y11" i="2" s="1"/>
  <c r="M11" i="2"/>
  <c r="N13" i="1"/>
  <c r="Y8" i="2" s="1"/>
  <c r="M8" i="2"/>
  <c r="N15" i="1"/>
  <c r="Y9" i="2" s="1"/>
  <c r="M9" i="2"/>
  <c r="N9" i="1"/>
  <c r="Y6" i="2" s="1"/>
  <c r="M6" i="2"/>
  <c r="N11" i="1"/>
  <c r="Y7" i="2" s="1"/>
  <c r="M7" i="2"/>
  <c r="N5" i="1"/>
  <c r="M4" i="2"/>
  <c r="O7" i="1"/>
  <c r="Z5" i="2" s="1"/>
  <c r="O11" i="1"/>
  <c r="Z7" i="2" s="1"/>
  <c r="O15" i="1"/>
  <c r="Z9" i="2" s="1"/>
  <c r="O19" i="1"/>
  <c r="Z11" i="2" s="1"/>
  <c r="O9" i="1"/>
  <c r="Z6" i="2" s="1"/>
  <c r="O17" i="1"/>
  <c r="Z10" i="2" s="1"/>
  <c r="Z12" i="2"/>
  <c r="O13" i="1"/>
  <c r="Z8" i="2" s="1"/>
  <c r="M12" i="2" l="1"/>
  <c r="Y12" i="2"/>
  <c r="O5" i="1"/>
  <c r="Z4" i="2" s="1"/>
  <c r="Y4" i="2"/>
</calcChain>
</file>

<file path=xl/connections.xml><?xml version="1.0" encoding="utf-8"?>
<connections xmlns="http://schemas.openxmlformats.org/spreadsheetml/2006/main">
  <connection id="1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<sst xmlns="http://schemas.openxmlformats.org/spreadsheetml/2006/main" count="111" uniqueCount="46">
  <si>
    <t>Kilpailija</t>
  </si>
  <si>
    <r>
      <t xml:space="preserve">HD1 </t>
    </r>
    <r>
      <rPr>
        <sz val="8"/>
        <color theme="1"/>
        <rFont val="Calibri"/>
        <family val="2"/>
        <scheme val="minor"/>
      </rPr>
      <t>(x10)</t>
    </r>
  </si>
  <si>
    <r>
      <t xml:space="preserve">HD2 </t>
    </r>
    <r>
      <rPr>
        <sz val="8"/>
        <color theme="1"/>
        <rFont val="Calibri"/>
        <family val="2"/>
        <scheme val="minor"/>
      </rPr>
      <t>(x10)</t>
    </r>
  </si>
  <si>
    <r>
      <t xml:space="preserve">ToF </t>
    </r>
    <r>
      <rPr>
        <sz val="8"/>
        <color theme="1"/>
        <rFont val="Calibri"/>
        <family val="2"/>
        <scheme val="minor"/>
      </rPr>
      <t>(x1000)</t>
    </r>
  </si>
  <si>
    <r>
      <t xml:space="preserve">E1 </t>
    </r>
    <r>
      <rPr>
        <sz val="8"/>
        <color theme="1"/>
        <rFont val="Calibri"/>
        <family val="2"/>
        <scheme val="minor"/>
      </rPr>
      <t>(x10)</t>
    </r>
  </si>
  <si>
    <t>E2</t>
  </si>
  <si>
    <t>E3</t>
  </si>
  <si>
    <t>E4</t>
  </si>
  <si>
    <t>Diff</t>
  </si>
  <si>
    <t>Penalty</t>
  </si>
  <si>
    <t>Score</t>
  </si>
  <si>
    <t>Total</t>
  </si>
  <si>
    <t>Rank</t>
  </si>
  <si>
    <t xml:space="preserve">Nea </t>
  </si>
  <si>
    <t>1.</t>
  </si>
  <si>
    <t>Bounce</t>
  </si>
  <si>
    <t>2.</t>
  </si>
  <si>
    <t>Data Entry</t>
  </si>
  <si>
    <t>Siiri</t>
  </si>
  <si>
    <t>EsTT</t>
  </si>
  <si>
    <t>Roosa</t>
  </si>
  <si>
    <t>TV</t>
  </si>
  <si>
    <t>Ellen</t>
  </si>
  <si>
    <t>Maya</t>
  </si>
  <si>
    <t>Hilla</t>
  </si>
  <si>
    <t>Fliku</t>
  </si>
  <si>
    <t>Aada</t>
  </si>
  <si>
    <t>Vilma</t>
  </si>
  <si>
    <t>Sofia</t>
  </si>
  <si>
    <t>Column1</t>
  </si>
  <si>
    <t>Column2</t>
  </si>
  <si>
    <t>HD1 (x10)3</t>
  </si>
  <si>
    <t>HD2 (x10)4</t>
  </si>
  <si>
    <t>ToF (x1000)5</t>
  </si>
  <si>
    <t>E1 (x10)6</t>
  </si>
  <si>
    <t>E27</t>
  </si>
  <si>
    <t>E38</t>
  </si>
  <si>
    <t>E49</t>
  </si>
  <si>
    <t>Diff10</t>
  </si>
  <si>
    <t>Penalty11</t>
  </si>
  <si>
    <t>Column12</t>
  </si>
  <si>
    <t>Score13</t>
  </si>
  <si>
    <t>HD1 (x10)</t>
  </si>
  <si>
    <t>HD2 (x10)</t>
  </si>
  <si>
    <t>ToF (x1000)</t>
  </si>
  <si>
    <t>E1 (x10)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</si>
</sst>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_-* #,##0.000\ _€_-;\-* #,##0.000\ _€_-;_-* &quot;-&quot;??\ _€_-;_-@_-"/>
    <numFmt numFmtId="165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3" fillId="0" borderId="6" xfId="0" applyFont="1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2" fillId="2" borderId="6" xfId="2" applyBorder="1" applyAlignment="1">
      <alignment horizontal="left"/>
    </xf>
    <xf numFmtId="0" fontId="4" fillId="0" borderId="7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164" fontId="0" fillId="0" borderId="13" xfId="1" applyNumberFormat="1" applyFont="1" applyBorder="1"/>
    <xf numFmtId="164" fontId="3" fillId="0" borderId="6" xfId="0" applyNumberFormat="1" applyFont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0" fontId="2" fillId="2" borderId="14" xfId="2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/>
    <xf numFmtId="164" fontId="0" fillId="0" borderId="21" xfId="1" applyNumberFormat="1" applyFont="1" applyBorder="1"/>
    <xf numFmtId="164" fontId="5" fillId="0" borderId="14" xfId="0" applyNumberFormat="1" applyFont="1" applyBorder="1" applyAlignment="1">
      <alignment vertical="center"/>
    </xf>
    <xf numFmtId="0" fontId="5" fillId="0" borderId="14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0" applyNumberFormat="1"/>
    <xf numFmtId="0" fontId="0" fillId="0" borderId="0" xfId="0" applyNumberFormat="1"/>
  </cellXfs>
  <cellStyles count="3">
    <cellStyle name="Bad" xfId="2" builtinId="27"/>
    <cellStyle name="Comma" xfId="1" builtinId="3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7">
    <queryTableFields count="26">
      <queryTableField id="1" name="Kilpailija" tableColumnId="27"/>
      <queryTableField id="2" name="Column1" tableColumnId="2"/>
      <queryTableField id="3" name="HD1 (x10)" tableColumnId="3"/>
      <queryTableField id="4" name="HD2 (x10)" tableColumnId="4"/>
      <queryTableField id="5" name="ToF (x1000)" tableColumnId="5"/>
      <queryTableField id="6" name="E1 (x10)" tableColumnId="6"/>
      <queryTableField id="7" name="E2" tableColumnId="7"/>
      <queryTableField id="8" name="E3" tableColumnId="8"/>
      <queryTableField id="9" name="E4" tableColumnId="9"/>
      <queryTableField id="10" name="Diff" tableColumnId="10"/>
      <queryTableField id="11" name="Penalty" tableColumnId="11"/>
      <queryTableField id="12" name="Column2" tableColumnId="12"/>
      <queryTableField id="13" name="Score" tableColumnId="13"/>
      <queryTableField id="14" name="HD1 (x10)3" tableColumnId="14"/>
      <queryTableField id="15" name="HD2 (x10)4" tableColumnId="15"/>
      <queryTableField id="16" name="ToF (x1000)5" tableColumnId="16"/>
      <queryTableField id="17" name="E1 (x10)6" tableColumnId="17"/>
      <queryTableField id="18" name="E27" tableColumnId="18"/>
      <queryTableField id="19" name="E38" tableColumnId="19"/>
      <queryTableField id="20" name="E49" tableColumnId="20"/>
      <queryTableField id="21" name="Diff10" tableColumnId="21"/>
      <queryTableField id="22" name="Penalty11" tableColumnId="22"/>
      <queryTableField id="23" name="Column12" tableColumnId="23"/>
      <queryTableField id="24" name="Score13" tableColumnId="24"/>
      <queryTableField id="25" name="Total" tableColumnId="25"/>
      <queryTableField id="26" name="Rank" tableColumnId="2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3:Z12" totalsRowShown="0">
  <autoFilter ref="A3:Z12"/>
  <tableColumns count="26">
    <tableColumn id="1" name="Kilpailija"/>
    <tableColumn id="2" name="Column1"/>
    <tableColumn id="3" name="HD1 (x10)"/>
    <tableColumn id="4" name="HD2 (x10)"/>
    <tableColumn id="5" name="ToF (x1000)"/>
    <tableColumn id="6" name="E1 (x10)"/>
    <tableColumn id="7" name="E2"/>
    <tableColumn id="8" name="E3"/>
    <tableColumn id="9" name="E4"/>
    <tableColumn id="10" name="Diff"/>
    <tableColumn id="11" name="Penalty"/>
    <tableColumn id="12" name="Column2"/>
    <tableColumn id="13" name="Score"/>
    <tableColumn id="14" name="HD1 (x10)3"/>
    <tableColumn id="15" name="HD2 (x10)4"/>
    <tableColumn id="16" name="ToF (x1000)5"/>
    <tableColumn id="17" name="E1 (x10)6"/>
    <tableColumn id="18" name="E27"/>
    <tableColumn id="19" name="E38"/>
    <tableColumn id="20" name="E49"/>
    <tableColumn id="21" name="Diff10"/>
    <tableColumn id="22" name="Penalty11"/>
    <tableColumn id="23" name="Column12"/>
    <tableColumn id="24" name="Score13"/>
    <tableColumn id="25" name="Total"/>
    <tableColumn id="26" name="R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_2" displayName="Table1_2" ref="A1:Z10" tableType="queryTable" totalsRowShown="0">
  <autoFilter ref="A1:Z10"/>
  <tableColumns count="26">
    <tableColumn id="27" uniqueName="27" name="Kilpailija" queryTableFieldId="1" dataDxfId="0"/>
    <tableColumn id="2" uniqueName="2" name="Column1" queryTableFieldId="2"/>
    <tableColumn id="3" uniqueName="3" name="HD1 (x10)" queryTableFieldId="3"/>
    <tableColumn id="4" uniqueName="4" name="HD2 (x10)" queryTableFieldId="4"/>
    <tableColumn id="5" uniqueName="5" name="ToF (x1000)" queryTableFieldId="5"/>
    <tableColumn id="6" uniqueName="6" name="E1 (x10)" queryTableFieldId="6"/>
    <tableColumn id="7" uniqueName="7" name="E2" queryTableFieldId="7"/>
    <tableColumn id="8" uniqueName="8" name="E3" queryTableFieldId="8"/>
    <tableColumn id="9" uniqueName="9" name="E4" queryTableFieldId="9"/>
    <tableColumn id="10" uniqueName="10" name="Diff" queryTableFieldId="10"/>
    <tableColumn id="11" uniqueName="11" name="Penalty" queryTableFieldId="11"/>
    <tableColumn id="12" uniqueName="12" name="Column2" queryTableFieldId="12"/>
    <tableColumn id="13" uniqueName="13" name="Score" queryTableFieldId="13"/>
    <tableColumn id="14" uniqueName="14" name="HD1 (x10)3" queryTableFieldId="14"/>
    <tableColumn id="15" uniqueName="15" name="HD2 (x10)4" queryTableFieldId="15"/>
    <tableColumn id="16" uniqueName="16" name="ToF (x1000)5" queryTableFieldId="16"/>
    <tableColumn id="17" uniqueName="17" name="E1 (x10)6" queryTableFieldId="17"/>
    <tableColumn id="18" uniqueName="18" name="E27" queryTableFieldId="18"/>
    <tableColumn id="19" uniqueName="19" name="E38" queryTableFieldId="19"/>
    <tableColumn id="20" uniqueName="20" name="E49" queryTableFieldId="20"/>
    <tableColumn id="21" uniqueName="21" name="Diff10" queryTableFieldId="21"/>
    <tableColumn id="22" uniqueName="22" name="Penalty11" queryTableFieldId="22"/>
    <tableColumn id="23" uniqueName="23" name="Column12" queryTableFieldId="23"/>
    <tableColumn id="24" uniqueName="24" name="Score13" queryTableFieldId="24"/>
    <tableColumn id="25" uniqueName="25" name="Total" queryTableFieldId="25"/>
    <tableColumn id="26" uniqueName="26" name="Rank" queryTableField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1"/>
  <sheetViews>
    <sheetView topLeftCell="H1" workbookViewId="0">
      <selection activeCell="O8" sqref="O8"/>
    </sheetView>
  </sheetViews>
  <sheetFormatPr defaultRowHeight="15" x14ac:dyDescent="0.25"/>
  <cols>
    <col min="1" max="1" width="9.140625" customWidth="1"/>
    <col min="2" max="2" width="2.28515625" style="28" customWidth="1"/>
    <col min="14" max="14" width="12.5703125" customWidth="1"/>
  </cols>
  <sheetData>
    <row r="1" spans="1:24" x14ac:dyDescent="0.25">
      <c r="A1" t="s">
        <v>17</v>
      </c>
    </row>
    <row r="2" spans="1:24" ht="15.75" thickBot="1" x14ac:dyDescent="0.3"/>
    <row r="3" spans="1:24" ht="15.75" thickBot="1" x14ac:dyDescent="0.3">
      <c r="A3" s="1" t="s">
        <v>0</v>
      </c>
      <c r="B3" s="29"/>
      <c r="C3" s="2" t="s">
        <v>1</v>
      </c>
      <c r="D3" s="3" t="s">
        <v>2</v>
      </c>
      <c r="E3" s="2" t="s">
        <v>3</v>
      </c>
      <c r="F3" s="4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3" t="s">
        <v>9</v>
      </c>
      <c r="L3" s="1"/>
      <c r="M3" s="5" t="s">
        <v>10</v>
      </c>
      <c r="N3" s="6" t="s">
        <v>11</v>
      </c>
      <c r="O3" s="7" t="s">
        <v>12</v>
      </c>
    </row>
    <row r="4" spans="1:24" x14ac:dyDescent="0.25">
      <c r="A4" s="8" t="s">
        <v>13</v>
      </c>
      <c r="B4" s="30" t="s">
        <v>14</v>
      </c>
      <c r="C4" s="10">
        <v>96</v>
      </c>
      <c r="D4" s="11">
        <v>95</v>
      </c>
      <c r="E4" s="10">
        <v>12775</v>
      </c>
      <c r="F4" s="12">
        <v>83</v>
      </c>
      <c r="G4" s="10">
        <v>78</v>
      </c>
      <c r="H4" s="10">
        <v>79</v>
      </c>
      <c r="I4" s="10">
        <v>79</v>
      </c>
      <c r="J4" s="10"/>
      <c r="K4" s="13"/>
      <c r="L4" s="14"/>
      <c r="M4" s="15">
        <f>IFERROR(U4+V4+W4+X4,)</f>
        <v>38.125</v>
      </c>
      <c r="N4" s="16"/>
      <c r="O4" s="17"/>
      <c r="R4">
        <f>SUM(F4:I4)</f>
        <v>319</v>
      </c>
      <c r="S4">
        <f>MIN(F4:I4)</f>
        <v>78</v>
      </c>
      <c r="T4">
        <f>MAX(F4:I4)</f>
        <v>83</v>
      </c>
      <c r="U4">
        <f>(R4-(S4+T4))/10</f>
        <v>15.8</v>
      </c>
      <c r="V4">
        <f>IFERROR(AVERAGE(C4:D4)/10,)</f>
        <v>9.5500000000000007</v>
      </c>
      <c r="W4">
        <f>J4/10</f>
        <v>0</v>
      </c>
      <c r="X4" s="33">
        <f>(ROUNDDOWN(E4,-1)+IF(MOD(E4,10)&lt;5,0,1)*5)/1000</f>
        <v>12.775</v>
      </c>
    </row>
    <row r="5" spans="1:24" ht="16.5" thickBot="1" x14ac:dyDescent="0.3">
      <c r="A5" s="18" t="s">
        <v>15</v>
      </c>
      <c r="B5" s="31" t="s">
        <v>16</v>
      </c>
      <c r="C5" s="20">
        <v>99</v>
      </c>
      <c r="D5" s="21">
        <v>96</v>
      </c>
      <c r="E5" s="20">
        <v>12805</v>
      </c>
      <c r="F5" s="22">
        <v>81</v>
      </c>
      <c r="G5" s="20">
        <v>71</v>
      </c>
      <c r="H5" s="20">
        <v>80</v>
      </c>
      <c r="I5" s="20">
        <v>76</v>
      </c>
      <c r="J5" s="20">
        <v>52</v>
      </c>
      <c r="K5" s="23"/>
      <c r="L5" s="24"/>
      <c r="M5" s="25">
        <f t="shared" ref="M5" si="0">IFERROR(U5+V5+W5+X5,)</f>
        <v>43.355000000000004</v>
      </c>
      <c r="N5" s="26">
        <f>SUM(M4:M5)</f>
        <v>81.48</v>
      </c>
      <c r="O5" s="27">
        <f>RANK(N5,LK3Tytöt)</f>
        <v>2</v>
      </c>
      <c r="R5">
        <f>SUM(F5:I5)</f>
        <v>308</v>
      </c>
      <c r="S5">
        <f>MIN(F5:I5)</f>
        <v>71</v>
      </c>
      <c r="T5">
        <f>MAX(F5:I5)</f>
        <v>81</v>
      </c>
      <c r="U5">
        <f t="shared" ref="U5" si="1">(R5-(S5+T5))/10</f>
        <v>15.6</v>
      </c>
      <c r="V5">
        <f t="shared" ref="V5" si="2">IFERROR(AVERAGE(C5:D5)/10,)</f>
        <v>9.75</v>
      </c>
      <c r="W5">
        <f>J5/10</f>
        <v>5.2</v>
      </c>
      <c r="X5" s="33">
        <f>(ROUNDDOWN(E5,-1)+IF(MOD(E5,10)&lt;5,0,1)*5)/1000</f>
        <v>12.805</v>
      </c>
    </row>
    <row r="6" spans="1:24" x14ac:dyDescent="0.25">
      <c r="A6" s="8" t="s">
        <v>18</v>
      </c>
      <c r="B6" s="9" t="s">
        <v>14</v>
      </c>
      <c r="C6" s="10">
        <v>93</v>
      </c>
      <c r="D6" s="11">
        <v>93</v>
      </c>
      <c r="E6" s="10">
        <v>11085</v>
      </c>
      <c r="F6" s="12">
        <v>72</v>
      </c>
      <c r="G6" s="10">
        <v>66</v>
      </c>
      <c r="H6" s="10">
        <v>65</v>
      </c>
      <c r="I6" s="10">
        <v>67</v>
      </c>
      <c r="J6" s="10"/>
      <c r="K6" s="13"/>
      <c r="L6" s="14"/>
      <c r="M6" s="15">
        <f>IFERROR(U6+V6+W6+X6,)</f>
        <v>33.685000000000002</v>
      </c>
      <c r="N6" s="16"/>
      <c r="O6" s="17"/>
      <c r="R6">
        <f t="shared" ref="R6:R21" si="3">SUM(F6:I6)</f>
        <v>270</v>
      </c>
      <c r="S6">
        <f t="shared" ref="S6:S21" si="4">MIN(F6:I6)</f>
        <v>65</v>
      </c>
      <c r="T6">
        <f t="shared" ref="T6:T21" si="5">MAX(F6:I6)</f>
        <v>72</v>
      </c>
      <c r="U6">
        <f t="shared" ref="U6:U21" si="6">(R6-(S6+T6))/10</f>
        <v>13.3</v>
      </c>
      <c r="V6">
        <f t="shared" ref="V6:V21" si="7">IFERROR(AVERAGE(C6:D6)/10,)</f>
        <v>9.3000000000000007</v>
      </c>
      <c r="W6">
        <f t="shared" ref="W6:W21" si="8">J6/10</f>
        <v>0</v>
      </c>
      <c r="X6" s="33">
        <f t="shared" ref="X6:X21" si="9">(ROUNDDOWN(E6,-1)+IF(MOD(E6,10)&lt;5,0,1)*5)/1000</f>
        <v>11.085000000000001</v>
      </c>
    </row>
    <row r="7" spans="1:24" ht="16.5" thickBot="1" x14ac:dyDescent="0.3">
      <c r="A7" s="18" t="s">
        <v>19</v>
      </c>
      <c r="B7" s="19" t="s">
        <v>16</v>
      </c>
      <c r="C7" s="20">
        <v>93</v>
      </c>
      <c r="D7" s="21">
        <v>91</v>
      </c>
      <c r="E7" s="20">
        <v>10905</v>
      </c>
      <c r="F7" s="22">
        <v>74</v>
      </c>
      <c r="G7" s="20">
        <v>65</v>
      </c>
      <c r="H7" s="20">
        <v>72</v>
      </c>
      <c r="I7" s="20">
        <v>70</v>
      </c>
      <c r="J7" s="20">
        <v>41</v>
      </c>
      <c r="K7" s="23"/>
      <c r="L7" s="24"/>
      <c r="M7" s="25">
        <f t="shared" ref="M7" si="10">IFERROR(U7+V7+W7+X7,)</f>
        <v>38.405000000000001</v>
      </c>
      <c r="N7" s="26">
        <f>SUM(M6:M7)</f>
        <v>72.09</v>
      </c>
      <c r="O7" s="27">
        <f>RANK(N7,LK3Tytöt)</f>
        <v>7</v>
      </c>
      <c r="R7">
        <f t="shared" si="3"/>
        <v>281</v>
      </c>
      <c r="S7">
        <f t="shared" si="4"/>
        <v>65</v>
      </c>
      <c r="T7">
        <f t="shared" si="5"/>
        <v>74</v>
      </c>
      <c r="U7">
        <f t="shared" si="6"/>
        <v>14.2</v>
      </c>
      <c r="V7">
        <f t="shared" si="7"/>
        <v>9.1999999999999993</v>
      </c>
      <c r="W7">
        <f t="shared" si="8"/>
        <v>4.0999999999999996</v>
      </c>
      <c r="X7" s="33">
        <f t="shared" si="9"/>
        <v>10.904999999999999</v>
      </c>
    </row>
    <row r="8" spans="1:24" x14ac:dyDescent="0.25">
      <c r="A8" s="8" t="s">
        <v>20</v>
      </c>
      <c r="B8" s="9" t="s">
        <v>14</v>
      </c>
      <c r="C8" s="10">
        <v>91</v>
      </c>
      <c r="D8" s="11">
        <v>89</v>
      </c>
      <c r="E8" s="10">
        <v>12890</v>
      </c>
      <c r="F8" s="12">
        <v>82</v>
      </c>
      <c r="G8" s="10">
        <v>68</v>
      </c>
      <c r="H8" s="10">
        <v>83</v>
      </c>
      <c r="I8" s="10">
        <v>81</v>
      </c>
      <c r="J8" s="10"/>
      <c r="K8" s="13"/>
      <c r="L8" s="14"/>
      <c r="M8" s="15">
        <f>IFERROR(U8+V8+W8+X8,)</f>
        <v>38.19</v>
      </c>
      <c r="N8" s="16"/>
      <c r="O8" s="17"/>
      <c r="R8">
        <f t="shared" si="3"/>
        <v>314</v>
      </c>
      <c r="S8">
        <f t="shared" si="4"/>
        <v>68</v>
      </c>
      <c r="T8">
        <f t="shared" si="5"/>
        <v>83</v>
      </c>
      <c r="U8">
        <f t="shared" si="6"/>
        <v>16.3</v>
      </c>
      <c r="V8">
        <f t="shared" si="7"/>
        <v>9</v>
      </c>
      <c r="W8">
        <f t="shared" si="8"/>
        <v>0</v>
      </c>
      <c r="X8" s="33">
        <f t="shared" si="9"/>
        <v>12.89</v>
      </c>
    </row>
    <row r="9" spans="1:24" ht="16.5" thickBot="1" x14ac:dyDescent="0.3">
      <c r="A9" s="18" t="s">
        <v>21</v>
      </c>
      <c r="B9" s="19" t="s">
        <v>16</v>
      </c>
      <c r="C9" s="20">
        <v>98</v>
      </c>
      <c r="D9" s="21">
        <v>97</v>
      </c>
      <c r="E9" s="20">
        <v>12905</v>
      </c>
      <c r="F9" s="22">
        <v>83</v>
      </c>
      <c r="G9" s="20">
        <v>80</v>
      </c>
      <c r="H9" s="20">
        <v>77</v>
      </c>
      <c r="I9" s="20">
        <v>80</v>
      </c>
      <c r="J9" s="20">
        <v>41</v>
      </c>
      <c r="K9" s="23"/>
      <c r="L9" s="24"/>
      <c r="M9" s="25">
        <f t="shared" ref="M9" si="11">IFERROR(U9+V9+W9+X9,)</f>
        <v>42.755000000000003</v>
      </c>
      <c r="N9" s="26">
        <f>SUM(M8:M9)</f>
        <v>80.944999999999993</v>
      </c>
      <c r="O9" s="27">
        <f>RANK(N9,LK3Tytöt)</f>
        <v>3</v>
      </c>
      <c r="R9">
        <f t="shared" si="3"/>
        <v>320</v>
      </c>
      <c r="S9">
        <f t="shared" si="4"/>
        <v>77</v>
      </c>
      <c r="T9">
        <f t="shared" si="5"/>
        <v>83</v>
      </c>
      <c r="U9">
        <f t="shared" si="6"/>
        <v>16</v>
      </c>
      <c r="V9">
        <f t="shared" si="7"/>
        <v>9.75</v>
      </c>
      <c r="W9">
        <f t="shared" si="8"/>
        <v>4.0999999999999996</v>
      </c>
      <c r="X9" s="33">
        <f t="shared" si="9"/>
        <v>12.904999999999999</v>
      </c>
    </row>
    <row r="10" spans="1:24" x14ac:dyDescent="0.25">
      <c r="A10" s="8" t="s">
        <v>22</v>
      </c>
      <c r="B10" s="9" t="s">
        <v>14</v>
      </c>
      <c r="C10" s="10">
        <v>96</v>
      </c>
      <c r="D10" s="11">
        <v>96</v>
      </c>
      <c r="E10" s="10">
        <v>12315</v>
      </c>
      <c r="F10" s="12">
        <v>77</v>
      </c>
      <c r="G10" s="10">
        <v>78</v>
      </c>
      <c r="H10" s="10">
        <v>77</v>
      </c>
      <c r="I10" s="10">
        <v>73</v>
      </c>
      <c r="J10" s="10"/>
      <c r="K10" s="13"/>
      <c r="L10" s="14"/>
      <c r="M10" s="15">
        <f>IFERROR(U10+V10+W10+X10,)</f>
        <v>37.314999999999998</v>
      </c>
      <c r="N10" s="16"/>
      <c r="O10" s="17"/>
      <c r="R10">
        <f t="shared" si="3"/>
        <v>305</v>
      </c>
      <c r="S10">
        <f t="shared" si="4"/>
        <v>73</v>
      </c>
      <c r="T10">
        <f t="shared" si="5"/>
        <v>78</v>
      </c>
      <c r="U10">
        <f t="shared" si="6"/>
        <v>15.4</v>
      </c>
      <c r="V10">
        <f t="shared" si="7"/>
        <v>9.6</v>
      </c>
      <c r="W10">
        <f t="shared" si="8"/>
        <v>0</v>
      </c>
      <c r="X10" s="33">
        <f t="shared" si="9"/>
        <v>12.315</v>
      </c>
    </row>
    <row r="11" spans="1:24" ht="16.5" thickBot="1" x14ac:dyDescent="0.3">
      <c r="A11" s="18" t="s">
        <v>21</v>
      </c>
      <c r="B11" s="19" t="s">
        <v>16</v>
      </c>
      <c r="C11" s="20">
        <v>96</v>
      </c>
      <c r="D11" s="21">
        <v>96</v>
      </c>
      <c r="E11" s="20">
        <v>12475</v>
      </c>
      <c r="F11" s="22">
        <v>81</v>
      </c>
      <c r="G11" s="20">
        <v>72</v>
      </c>
      <c r="H11" s="20">
        <v>75</v>
      </c>
      <c r="I11" s="20">
        <v>76</v>
      </c>
      <c r="J11" s="20">
        <v>41</v>
      </c>
      <c r="K11" s="23"/>
      <c r="L11" s="24"/>
      <c r="M11" s="25">
        <f t="shared" ref="M11" si="12">IFERROR(U11+V11+W11+X11,)</f>
        <v>41.274999999999999</v>
      </c>
      <c r="N11" s="26">
        <f>SUM(M10:M11)</f>
        <v>78.59</v>
      </c>
      <c r="O11" s="27">
        <f>RANK(N11,LK3Tytöt)</f>
        <v>4</v>
      </c>
      <c r="R11">
        <f t="shared" si="3"/>
        <v>304</v>
      </c>
      <c r="S11">
        <f t="shared" si="4"/>
        <v>72</v>
      </c>
      <c r="T11">
        <f t="shared" si="5"/>
        <v>81</v>
      </c>
      <c r="U11">
        <f t="shared" si="6"/>
        <v>15.1</v>
      </c>
      <c r="V11">
        <f t="shared" si="7"/>
        <v>9.6</v>
      </c>
      <c r="W11">
        <f t="shared" si="8"/>
        <v>4.0999999999999996</v>
      </c>
      <c r="X11" s="33">
        <f t="shared" si="9"/>
        <v>12.475</v>
      </c>
    </row>
    <row r="12" spans="1:24" x14ac:dyDescent="0.25">
      <c r="A12" s="8" t="s">
        <v>23</v>
      </c>
      <c r="B12" s="9" t="s">
        <v>14</v>
      </c>
      <c r="C12" s="10">
        <v>92</v>
      </c>
      <c r="D12" s="11">
        <v>92</v>
      </c>
      <c r="E12" s="10">
        <v>11570</v>
      </c>
      <c r="F12" s="12">
        <v>74</v>
      </c>
      <c r="G12" s="10">
        <v>71</v>
      </c>
      <c r="H12" s="10">
        <v>65</v>
      </c>
      <c r="I12" s="10">
        <v>68</v>
      </c>
      <c r="J12" s="10"/>
      <c r="K12" s="13"/>
      <c r="L12" s="14"/>
      <c r="M12" s="15">
        <f>IFERROR(U12+V12+W12+X12,)</f>
        <v>34.67</v>
      </c>
      <c r="N12" s="16"/>
      <c r="O12" s="17"/>
      <c r="R12">
        <f t="shared" si="3"/>
        <v>278</v>
      </c>
      <c r="S12">
        <f t="shared" si="4"/>
        <v>65</v>
      </c>
      <c r="T12">
        <f t="shared" si="5"/>
        <v>74</v>
      </c>
      <c r="U12">
        <f t="shared" si="6"/>
        <v>13.9</v>
      </c>
      <c r="V12">
        <f t="shared" si="7"/>
        <v>9.1999999999999993</v>
      </c>
      <c r="W12">
        <f t="shared" si="8"/>
        <v>0</v>
      </c>
      <c r="X12" s="33">
        <f t="shared" si="9"/>
        <v>11.57</v>
      </c>
    </row>
    <row r="13" spans="1:24" ht="16.5" thickBot="1" x14ac:dyDescent="0.3">
      <c r="A13" s="18" t="s">
        <v>19</v>
      </c>
      <c r="B13" s="19" t="s">
        <v>16</v>
      </c>
      <c r="C13" s="20">
        <v>95</v>
      </c>
      <c r="D13" s="21">
        <v>95</v>
      </c>
      <c r="E13" s="20">
        <v>11770</v>
      </c>
      <c r="F13" s="22">
        <v>76</v>
      </c>
      <c r="G13" s="20">
        <v>61</v>
      </c>
      <c r="H13" s="20">
        <v>63</v>
      </c>
      <c r="I13" s="20">
        <v>67</v>
      </c>
      <c r="J13" s="20">
        <v>45</v>
      </c>
      <c r="K13" s="23"/>
      <c r="L13" s="24"/>
      <c r="M13" s="25">
        <f t="shared" ref="M13" si="13">IFERROR(U13+V13+W13+X13,)</f>
        <v>38.769999999999996</v>
      </c>
      <c r="N13" s="26">
        <f>SUM(M12:M13)</f>
        <v>73.44</v>
      </c>
      <c r="O13" s="27">
        <f>RANK(N13,LK3Tytöt)</f>
        <v>6</v>
      </c>
      <c r="R13">
        <f t="shared" si="3"/>
        <v>267</v>
      </c>
      <c r="S13">
        <f t="shared" si="4"/>
        <v>61</v>
      </c>
      <c r="T13">
        <f t="shared" si="5"/>
        <v>76</v>
      </c>
      <c r="U13">
        <f t="shared" si="6"/>
        <v>13</v>
      </c>
      <c r="V13">
        <f t="shared" si="7"/>
        <v>9.5</v>
      </c>
      <c r="W13">
        <f t="shared" si="8"/>
        <v>4.5</v>
      </c>
      <c r="X13" s="33">
        <f t="shared" si="9"/>
        <v>11.77</v>
      </c>
    </row>
    <row r="14" spans="1:24" x14ac:dyDescent="0.25">
      <c r="A14" s="8" t="s">
        <v>24</v>
      </c>
      <c r="B14" s="9" t="s">
        <v>14</v>
      </c>
      <c r="C14" s="10">
        <v>88</v>
      </c>
      <c r="D14" s="11">
        <v>90</v>
      </c>
      <c r="E14" s="10">
        <v>11190</v>
      </c>
      <c r="F14" s="12">
        <v>72</v>
      </c>
      <c r="G14" s="10">
        <v>63</v>
      </c>
      <c r="H14" s="10">
        <v>68</v>
      </c>
      <c r="I14" s="10">
        <v>67</v>
      </c>
      <c r="J14" s="10"/>
      <c r="K14" s="13"/>
      <c r="L14" s="14"/>
      <c r="M14" s="15">
        <f>IFERROR(U14+V14+W14+X14,)</f>
        <v>33.589999999999996</v>
      </c>
      <c r="N14" s="16"/>
      <c r="O14" s="17"/>
      <c r="R14">
        <f t="shared" si="3"/>
        <v>270</v>
      </c>
      <c r="S14">
        <f t="shared" si="4"/>
        <v>63</v>
      </c>
      <c r="T14">
        <f t="shared" si="5"/>
        <v>72</v>
      </c>
      <c r="U14">
        <f t="shared" si="6"/>
        <v>13.5</v>
      </c>
      <c r="V14">
        <f t="shared" si="7"/>
        <v>8.9</v>
      </c>
      <c r="W14">
        <f t="shared" si="8"/>
        <v>0</v>
      </c>
      <c r="X14" s="33">
        <f t="shared" si="9"/>
        <v>11.19</v>
      </c>
    </row>
    <row r="15" spans="1:24" ht="16.5" thickBot="1" x14ac:dyDescent="0.3">
      <c r="A15" s="18" t="s">
        <v>25</v>
      </c>
      <c r="B15" s="19" t="s">
        <v>16</v>
      </c>
      <c r="C15" s="20">
        <v>26</v>
      </c>
      <c r="D15" s="21">
        <v>27</v>
      </c>
      <c r="E15" s="20">
        <v>3635</v>
      </c>
      <c r="F15" s="22">
        <v>23</v>
      </c>
      <c r="G15" s="20">
        <v>22</v>
      </c>
      <c r="H15" s="20">
        <v>23</v>
      </c>
      <c r="I15" s="20">
        <v>21</v>
      </c>
      <c r="J15" s="20">
        <v>12</v>
      </c>
      <c r="K15" s="23"/>
      <c r="L15" s="24"/>
      <c r="M15" s="25">
        <f t="shared" ref="M15" si="14">IFERROR(U15+V15+W15+X15,)</f>
        <v>11.984999999999999</v>
      </c>
      <c r="N15" s="26">
        <f>SUM(M14:M15)</f>
        <v>45.574999999999996</v>
      </c>
      <c r="O15" s="27">
        <f>RANK(N15,LK3Tytöt)</f>
        <v>9</v>
      </c>
      <c r="R15">
        <f t="shared" si="3"/>
        <v>89</v>
      </c>
      <c r="S15">
        <f t="shared" si="4"/>
        <v>21</v>
      </c>
      <c r="T15">
        <f t="shared" si="5"/>
        <v>23</v>
      </c>
      <c r="U15">
        <f t="shared" si="6"/>
        <v>4.5</v>
      </c>
      <c r="V15">
        <f t="shared" si="7"/>
        <v>2.65</v>
      </c>
      <c r="W15">
        <f t="shared" si="8"/>
        <v>1.2</v>
      </c>
      <c r="X15" s="33">
        <f t="shared" si="9"/>
        <v>3.6349999999999998</v>
      </c>
    </row>
    <row r="16" spans="1:24" x14ac:dyDescent="0.25">
      <c r="A16" s="8" t="s">
        <v>26</v>
      </c>
      <c r="B16" s="9" t="s">
        <v>14</v>
      </c>
      <c r="C16" s="10">
        <v>96</v>
      </c>
      <c r="D16" s="11">
        <v>96</v>
      </c>
      <c r="E16" s="10">
        <v>12340</v>
      </c>
      <c r="F16" s="12">
        <v>71</v>
      </c>
      <c r="G16" s="10">
        <v>66</v>
      </c>
      <c r="H16" s="10">
        <v>64</v>
      </c>
      <c r="I16" s="10">
        <v>64</v>
      </c>
      <c r="J16" s="10"/>
      <c r="K16" s="13"/>
      <c r="L16" s="14"/>
      <c r="M16" s="15">
        <f>IFERROR(U16+V16+W16+X16,)</f>
        <v>34.94</v>
      </c>
      <c r="N16" s="16"/>
      <c r="O16" s="17"/>
      <c r="R16">
        <f t="shared" si="3"/>
        <v>265</v>
      </c>
      <c r="S16">
        <f t="shared" si="4"/>
        <v>64</v>
      </c>
      <c r="T16">
        <f t="shared" si="5"/>
        <v>71</v>
      </c>
      <c r="U16">
        <f t="shared" si="6"/>
        <v>13</v>
      </c>
      <c r="V16">
        <f t="shared" si="7"/>
        <v>9.6</v>
      </c>
      <c r="W16">
        <f t="shared" si="8"/>
        <v>0</v>
      </c>
      <c r="X16" s="33">
        <f t="shared" si="9"/>
        <v>12.34</v>
      </c>
    </row>
    <row r="17" spans="1:24" ht="16.5" thickBot="1" x14ac:dyDescent="0.3">
      <c r="A17" s="18" t="s">
        <v>19</v>
      </c>
      <c r="B17" s="19" t="s">
        <v>16</v>
      </c>
      <c r="C17" s="20">
        <v>96</v>
      </c>
      <c r="D17" s="21">
        <v>96</v>
      </c>
      <c r="E17" s="20">
        <v>12320</v>
      </c>
      <c r="F17" s="22">
        <v>74</v>
      </c>
      <c r="G17" s="20">
        <v>70</v>
      </c>
      <c r="H17" s="20">
        <v>67</v>
      </c>
      <c r="I17" s="20">
        <v>63</v>
      </c>
      <c r="J17" s="20">
        <v>49</v>
      </c>
      <c r="K17" s="23"/>
      <c r="L17" s="24"/>
      <c r="M17" s="25">
        <f t="shared" ref="M17" si="15">IFERROR(U17+V17+W17+X17,)</f>
        <v>40.519999999999996</v>
      </c>
      <c r="N17" s="26">
        <f>SUM(M16:M17)</f>
        <v>75.459999999999994</v>
      </c>
      <c r="O17" s="27">
        <f>RANK(N17,LK3Tytöt)</f>
        <v>5</v>
      </c>
      <c r="R17">
        <f t="shared" si="3"/>
        <v>274</v>
      </c>
      <c r="S17">
        <f t="shared" si="4"/>
        <v>63</v>
      </c>
      <c r="T17">
        <f t="shared" si="5"/>
        <v>74</v>
      </c>
      <c r="U17">
        <f t="shared" si="6"/>
        <v>13.7</v>
      </c>
      <c r="V17">
        <f t="shared" si="7"/>
        <v>9.6</v>
      </c>
      <c r="W17">
        <f t="shared" si="8"/>
        <v>4.9000000000000004</v>
      </c>
      <c r="X17" s="33">
        <f t="shared" si="9"/>
        <v>12.32</v>
      </c>
    </row>
    <row r="18" spans="1:24" x14ac:dyDescent="0.25">
      <c r="A18" s="8" t="s">
        <v>27</v>
      </c>
      <c r="B18" s="9" t="s">
        <v>14</v>
      </c>
      <c r="C18" s="10">
        <v>97</v>
      </c>
      <c r="D18" s="11">
        <v>98</v>
      </c>
      <c r="E18" s="10">
        <v>10680</v>
      </c>
      <c r="F18" s="12">
        <v>73</v>
      </c>
      <c r="G18" s="10">
        <v>61</v>
      </c>
      <c r="H18" s="10">
        <v>73</v>
      </c>
      <c r="I18" s="10">
        <v>64</v>
      </c>
      <c r="J18" s="10"/>
      <c r="K18" s="13"/>
      <c r="L18" s="14"/>
      <c r="M18" s="15">
        <f>IFERROR(U18+V18+W18+X18,)</f>
        <v>34.129999999999995</v>
      </c>
      <c r="N18" s="16"/>
      <c r="O18" s="17"/>
      <c r="R18">
        <f t="shared" si="3"/>
        <v>271</v>
      </c>
      <c r="S18">
        <f t="shared" si="4"/>
        <v>61</v>
      </c>
      <c r="T18">
        <f t="shared" si="5"/>
        <v>73</v>
      </c>
      <c r="U18">
        <f t="shared" si="6"/>
        <v>13.7</v>
      </c>
      <c r="V18">
        <f t="shared" si="7"/>
        <v>9.75</v>
      </c>
      <c r="W18">
        <f t="shared" si="8"/>
        <v>0</v>
      </c>
      <c r="X18" s="33">
        <f t="shared" si="9"/>
        <v>10.68</v>
      </c>
    </row>
    <row r="19" spans="1:24" ht="16.5" thickBot="1" x14ac:dyDescent="0.3">
      <c r="A19" s="18" t="s">
        <v>25</v>
      </c>
      <c r="B19" s="19" t="s">
        <v>16</v>
      </c>
      <c r="C19" s="20">
        <v>99</v>
      </c>
      <c r="D19" s="21">
        <v>99</v>
      </c>
      <c r="E19" s="20">
        <v>10890</v>
      </c>
      <c r="F19" s="22">
        <v>70</v>
      </c>
      <c r="G19" s="20">
        <v>57</v>
      </c>
      <c r="H19" s="20">
        <v>58</v>
      </c>
      <c r="I19" s="20">
        <v>59</v>
      </c>
      <c r="J19" s="20">
        <v>44</v>
      </c>
      <c r="K19" s="23"/>
      <c r="L19" s="24"/>
      <c r="M19" s="25">
        <f t="shared" ref="M19" si="16">IFERROR(U19+V19+W19+X19,)</f>
        <v>36.89</v>
      </c>
      <c r="N19" s="26">
        <f>SUM(M18:M19)</f>
        <v>71.02</v>
      </c>
      <c r="O19" s="27">
        <f>RANK(N19,LK3Tytöt)</f>
        <v>8</v>
      </c>
      <c r="R19">
        <f t="shared" si="3"/>
        <v>244</v>
      </c>
      <c r="S19">
        <f t="shared" si="4"/>
        <v>57</v>
      </c>
      <c r="T19">
        <f t="shared" si="5"/>
        <v>70</v>
      </c>
      <c r="U19">
        <f t="shared" si="6"/>
        <v>11.7</v>
      </c>
      <c r="V19">
        <f t="shared" si="7"/>
        <v>9.9</v>
      </c>
      <c r="W19">
        <f t="shared" si="8"/>
        <v>4.4000000000000004</v>
      </c>
      <c r="X19" s="33">
        <f t="shared" si="9"/>
        <v>10.89</v>
      </c>
    </row>
    <row r="20" spans="1:24" x14ac:dyDescent="0.25">
      <c r="A20" s="8" t="s">
        <v>28</v>
      </c>
      <c r="B20" s="9" t="s">
        <v>14</v>
      </c>
      <c r="C20" s="10">
        <v>99</v>
      </c>
      <c r="D20" s="11">
        <v>94</v>
      </c>
      <c r="E20" s="10">
        <v>13835</v>
      </c>
      <c r="F20" s="12">
        <v>86</v>
      </c>
      <c r="G20" s="10">
        <v>83</v>
      </c>
      <c r="H20" s="10">
        <v>84</v>
      </c>
      <c r="I20" s="10">
        <v>87</v>
      </c>
      <c r="J20" s="10"/>
      <c r="K20" s="13"/>
      <c r="L20" s="14"/>
      <c r="M20" s="15">
        <f>IFERROR(U20+V20+W20+X20,)</f>
        <v>40.484999999999999</v>
      </c>
      <c r="N20" s="16"/>
      <c r="O20" s="17"/>
      <c r="R20">
        <f t="shared" si="3"/>
        <v>340</v>
      </c>
      <c r="S20">
        <f t="shared" si="4"/>
        <v>83</v>
      </c>
      <c r="T20">
        <f t="shared" si="5"/>
        <v>87</v>
      </c>
      <c r="U20">
        <f t="shared" si="6"/>
        <v>17</v>
      </c>
      <c r="V20">
        <f t="shared" si="7"/>
        <v>9.65</v>
      </c>
      <c r="W20">
        <f t="shared" si="8"/>
        <v>0</v>
      </c>
      <c r="X20" s="33">
        <f t="shared" si="9"/>
        <v>13.835000000000001</v>
      </c>
    </row>
    <row r="21" spans="1:24" ht="16.5" thickBot="1" x14ac:dyDescent="0.3">
      <c r="A21" s="18" t="s">
        <v>21</v>
      </c>
      <c r="B21" s="19" t="s">
        <v>16</v>
      </c>
      <c r="C21" s="20">
        <v>94</v>
      </c>
      <c r="D21" s="21">
        <v>94</v>
      </c>
      <c r="E21" s="20">
        <v>13580</v>
      </c>
      <c r="F21" s="22">
        <v>82</v>
      </c>
      <c r="G21" s="20">
        <v>82</v>
      </c>
      <c r="H21" s="20">
        <v>78</v>
      </c>
      <c r="I21" s="20">
        <v>82</v>
      </c>
      <c r="J21" s="20">
        <v>46</v>
      </c>
      <c r="K21" s="23"/>
      <c r="L21" s="24"/>
      <c r="M21" s="25">
        <f t="shared" ref="M21" si="17">IFERROR(U21+V21+W21+X21,)</f>
        <v>43.98</v>
      </c>
      <c r="N21" s="26">
        <f>SUM(M20:M21)</f>
        <v>84.465000000000003</v>
      </c>
      <c r="O21" s="27">
        <f>RANK(N21,LK3Tytöt)</f>
        <v>1</v>
      </c>
      <c r="R21">
        <f t="shared" si="3"/>
        <v>324</v>
      </c>
      <c r="S21">
        <f t="shared" si="4"/>
        <v>78</v>
      </c>
      <c r="T21">
        <f t="shared" si="5"/>
        <v>82</v>
      </c>
      <c r="U21">
        <f t="shared" si="6"/>
        <v>16.399999999999999</v>
      </c>
      <c r="V21">
        <f t="shared" si="7"/>
        <v>9.4</v>
      </c>
      <c r="W21">
        <f t="shared" si="8"/>
        <v>4.5999999999999996</v>
      </c>
      <c r="X21" s="33">
        <f t="shared" si="9"/>
        <v>13.58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Z12"/>
  <sheetViews>
    <sheetView tabSelected="1" workbookViewId="0">
      <selection activeCell="M25" sqref="M25"/>
    </sheetView>
  </sheetViews>
  <sheetFormatPr defaultRowHeight="15" x14ac:dyDescent="0.25"/>
  <cols>
    <col min="1" max="1" width="10.85546875" customWidth="1"/>
    <col min="2" max="2" width="11" customWidth="1"/>
    <col min="3" max="4" width="11.5703125" customWidth="1"/>
    <col min="5" max="5" width="13.140625" customWidth="1"/>
    <col min="6" max="6" width="10" customWidth="1"/>
    <col min="11" max="11" width="9.85546875" customWidth="1"/>
    <col min="12" max="12" width="11" customWidth="1"/>
    <col min="14" max="15" width="12.5703125" customWidth="1"/>
    <col min="16" max="16" width="14.140625" customWidth="1"/>
    <col min="17" max="17" width="11" customWidth="1"/>
    <col min="22" max="22" width="11.85546875" customWidth="1"/>
    <col min="23" max="23" width="12" customWidth="1"/>
    <col min="24" max="24" width="10" customWidth="1"/>
  </cols>
  <sheetData>
    <row r="2" spans="1:26" ht="15.75" thickBot="1" x14ac:dyDescent="0.3"/>
    <row r="3" spans="1:26" x14ac:dyDescent="0.25">
      <c r="A3" s="1" t="s">
        <v>0</v>
      </c>
      <c r="B3" s="29" t="s">
        <v>29</v>
      </c>
      <c r="C3" s="2" t="s">
        <v>1</v>
      </c>
      <c r="D3" s="3" t="s">
        <v>2</v>
      </c>
      <c r="E3" s="2" t="s">
        <v>3</v>
      </c>
      <c r="F3" s="4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3" t="s">
        <v>9</v>
      </c>
      <c r="L3" s="1" t="s">
        <v>30</v>
      </c>
      <c r="M3" s="5" t="s">
        <v>10</v>
      </c>
      <c r="N3" s="2" t="s">
        <v>31</v>
      </c>
      <c r="O3" s="3" t="s">
        <v>32</v>
      </c>
      <c r="P3" s="2" t="s">
        <v>33</v>
      </c>
      <c r="Q3" s="4" t="s">
        <v>34</v>
      </c>
      <c r="R3" s="2" t="s">
        <v>35</v>
      </c>
      <c r="S3" s="2" t="s">
        <v>36</v>
      </c>
      <c r="T3" s="2" t="s">
        <v>37</v>
      </c>
      <c r="U3" s="2" t="s">
        <v>38</v>
      </c>
      <c r="V3" s="3" t="s">
        <v>39</v>
      </c>
      <c r="W3" s="1" t="s">
        <v>40</v>
      </c>
      <c r="X3" s="5" t="s">
        <v>41</v>
      </c>
      <c r="Y3" s="32" t="s">
        <v>11</v>
      </c>
      <c r="Z3" s="32" t="s">
        <v>12</v>
      </c>
    </row>
    <row r="4" spans="1:26" x14ac:dyDescent="0.25">
      <c r="A4" t="str">
        <f>DataEntry!A4</f>
        <v xml:space="preserve">Nea </v>
      </c>
      <c r="C4">
        <f>DataEntry!C4</f>
        <v>96</v>
      </c>
      <c r="D4">
        <f>DataEntry!D4</f>
        <v>95</v>
      </c>
      <c r="E4">
        <f>DataEntry!E4</f>
        <v>12775</v>
      </c>
      <c r="F4">
        <f>DataEntry!F4</f>
        <v>83</v>
      </c>
      <c r="G4">
        <f>DataEntry!G4</f>
        <v>78</v>
      </c>
      <c r="H4">
        <f>DataEntry!H4</f>
        <v>79</v>
      </c>
      <c r="I4">
        <f>DataEntry!I4</f>
        <v>79</v>
      </c>
      <c r="J4">
        <f>DataEntry!J4</f>
        <v>0</v>
      </c>
      <c r="K4">
        <f>DataEntry!K4</f>
        <v>0</v>
      </c>
      <c r="M4">
        <f>DataEntry!M4</f>
        <v>38.125</v>
      </c>
      <c r="N4">
        <f>DataEntry!C5</f>
        <v>99</v>
      </c>
      <c r="O4">
        <f>DataEntry!D5</f>
        <v>96</v>
      </c>
      <c r="P4">
        <f>DataEntry!E5</f>
        <v>12805</v>
      </c>
      <c r="Q4">
        <f>DataEntry!F5</f>
        <v>81</v>
      </c>
      <c r="R4">
        <f>DataEntry!G5</f>
        <v>71</v>
      </c>
      <c r="S4">
        <f>DataEntry!H5</f>
        <v>80</v>
      </c>
      <c r="T4">
        <f>DataEntry!I5</f>
        <v>76</v>
      </c>
      <c r="U4">
        <f>DataEntry!J5</f>
        <v>52</v>
      </c>
      <c r="V4">
        <f>DataEntry!K5</f>
        <v>0</v>
      </c>
      <c r="X4">
        <f>DataEntry!M5</f>
        <v>43.355000000000004</v>
      </c>
      <c r="Y4">
        <f>DataEntry!N5</f>
        <v>81.48</v>
      </c>
      <c r="Z4">
        <f>DataEntry!O5</f>
        <v>2</v>
      </c>
    </row>
    <row r="5" spans="1:26" x14ac:dyDescent="0.25">
      <c r="A5" t="str">
        <f>DataEntry!A6</f>
        <v>Siiri</v>
      </c>
      <c r="C5">
        <f>DataEntry!C6</f>
        <v>93</v>
      </c>
      <c r="D5">
        <f>DataEntry!D6</f>
        <v>93</v>
      </c>
      <c r="E5">
        <f>DataEntry!E6</f>
        <v>11085</v>
      </c>
      <c r="F5">
        <f>DataEntry!F6</f>
        <v>72</v>
      </c>
      <c r="G5">
        <f>DataEntry!G6</f>
        <v>66</v>
      </c>
      <c r="H5">
        <f>DataEntry!H6</f>
        <v>65</v>
      </c>
      <c r="I5">
        <f>DataEntry!I6</f>
        <v>67</v>
      </c>
      <c r="J5">
        <f>DataEntry!J6</f>
        <v>0</v>
      </c>
      <c r="K5">
        <f>DataEntry!K6</f>
        <v>0</v>
      </c>
      <c r="M5">
        <f>DataEntry!M6</f>
        <v>33.685000000000002</v>
      </c>
      <c r="N5">
        <f>DataEntry!C7</f>
        <v>93</v>
      </c>
      <c r="O5">
        <f>DataEntry!D7</f>
        <v>91</v>
      </c>
      <c r="P5">
        <f>DataEntry!E7</f>
        <v>10905</v>
      </c>
      <c r="Q5">
        <f>DataEntry!F7</f>
        <v>74</v>
      </c>
      <c r="R5">
        <f>DataEntry!G7</f>
        <v>65</v>
      </c>
      <c r="S5">
        <f>DataEntry!H7</f>
        <v>72</v>
      </c>
      <c r="T5">
        <f>DataEntry!I7</f>
        <v>70</v>
      </c>
      <c r="U5">
        <f>DataEntry!J7</f>
        <v>41</v>
      </c>
      <c r="V5">
        <f>DataEntry!K7</f>
        <v>0</v>
      </c>
      <c r="X5">
        <f>DataEntry!M7</f>
        <v>38.405000000000001</v>
      </c>
      <c r="Y5">
        <f>DataEntry!N7</f>
        <v>72.09</v>
      </c>
      <c r="Z5">
        <f>DataEntry!O7</f>
        <v>7</v>
      </c>
    </row>
    <row r="6" spans="1:26" x14ac:dyDescent="0.25">
      <c r="A6" t="str">
        <f>DataEntry!A8</f>
        <v>Roosa</v>
      </c>
      <c r="C6">
        <f>DataEntry!C8</f>
        <v>91</v>
      </c>
      <c r="D6">
        <f>DataEntry!D8</f>
        <v>89</v>
      </c>
      <c r="E6">
        <f>DataEntry!E8</f>
        <v>12890</v>
      </c>
      <c r="F6">
        <f>DataEntry!F8</f>
        <v>82</v>
      </c>
      <c r="G6">
        <f>DataEntry!G8</f>
        <v>68</v>
      </c>
      <c r="H6">
        <f>DataEntry!H8</f>
        <v>83</v>
      </c>
      <c r="I6">
        <f>DataEntry!I8</f>
        <v>81</v>
      </c>
      <c r="J6">
        <f>DataEntry!J8</f>
        <v>0</v>
      </c>
      <c r="K6">
        <f>DataEntry!K8</f>
        <v>0</v>
      </c>
      <c r="M6">
        <f>DataEntry!M8</f>
        <v>38.19</v>
      </c>
      <c r="N6">
        <f>DataEntry!C9</f>
        <v>98</v>
      </c>
      <c r="O6">
        <f>DataEntry!D9</f>
        <v>97</v>
      </c>
      <c r="P6">
        <f>DataEntry!E9</f>
        <v>12905</v>
      </c>
      <c r="Q6">
        <f>DataEntry!F9</f>
        <v>83</v>
      </c>
      <c r="R6">
        <f>DataEntry!G9</f>
        <v>80</v>
      </c>
      <c r="S6">
        <f>DataEntry!H9</f>
        <v>77</v>
      </c>
      <c r="T6">
        <f>DataEntry!I9</f>
        <v>80</v>
      </c>
      <c r="U6">
        <f>DataEntry!J9</f>
        <v>41</v>
      </c>
      <c r="V6">
        <f>DataEntry!K9</f>
        <v>0</v>
      </c>
      <c r="X6">
        <f>DataEntry!M9</f>
        <v>42.755000000000003</v>
      </c>
      <c r="Y6">
        <f>DataEntry!N9</f>
        <v>80.944999999999993</v>
      </c>
      <c r="Z6">
        <f>DataEntry!O9</f>
        <v>3</v>
      </c>
    </row>
    <row r="7" spans="1:26" x14ac:dyDescent="0.25">
      <c r="A7" t="str">
        <f>DataEntry!A10</f>
        <v>Ellen</v>
      </c>
      <c r="C7">
        <f>DataEntry!C10</f>
        <v>96</v>
      </c>
      <c r="D7">
        <f>DataEntry!D10</f>
        <v>96</v>
      </c>
      <c r="E7">
        <f>DataEntry!E10</f>
        <v>12315</v>
      </c>
      <c r="F7">
        <f>DataEntry!F10</f>
        <v>77</v>
      </c>
      <c r="G7">
        <f>DataEntry!G10</f>
        <v>78</v>
      </c>
      <c r="H7">
        <f>DataEntry!H10</f>
        <v>77</v>
      </c>
      <c r="I7">
        <f>DataEntry!I10</f>
        <v>73</v>
      </c>
      <c r="J7">
        <f>DataEntry!J10</f>
        <v>0</v>
      </c>
      <c r="K7">
        <f>DataEntry!K10</f>
        <v>0</v>
      </c>
      <c r="M7">
        <f>DataEntry!M10</f>
        <v>37.314999999999998</v>
      </c>
      <c r="N7">
        <f>DataEntry!C11</f>
        <v>96</v>
      </c>
      <c r="O7">
        <f>DataEntry!D11</f>
        <v>96</v>
      </c>
      <c r="P7">
        <f>DataEntry!E11</f>
        <v>12475</v>
      </c>
      <c r="Q7">
        <f>DataEntry!F11</f>
        <v>81</v>
      </c>
      <c r="R7">
        <f>DataEntry!G11</f>
        <v>72</v>
      </c>
      <c r="S7">
        <f>DataEntry!H11</f>
        <v>75</v>
      </c>
      <c r="T7">
        <f>DataEntry!I11</f>
        <v>76</v>
      </c>
      <c r="U7">
        <f>DataEntry!J11</f>
        <v>41</v>
      </c>
      <c r="V7">
        <f>DataEntry!K11</f>
        <v>0</v>
      </c>
      <c r="X7">
        <f>DataEntry!M11</f>
        <v>41.274999999999999</v>
      </c>
      <c r="Y7">
        <f>DataEntry!N11</f>
        <v>78.59</v>
      </c>
      <c r="Z7">
        <f>DataEntry!O11</f>
        <v>4</v>
      </c>
    </row>
    <row r="8" spans="1:26" x14ac:dyDescent="0.25">
      <c r="A8" t="str">
        <f>DataEntry!A12</f>
        <v>Maya</v>
      </c>
      <c r="C8">
        <f>DataEntry!C12</f>
        <v>92</v>
      </c>
      <c r="D8">
        <f>DataEntry!D12</f>
        <v>92</v>
      </c>
      <c r="E8">
        <f>DataEntry!E12</f>
        <v>11570</v>
      </c>
      <c r="F8">
        <f>DataEntry!F12</f>
        <v>74</v>
      </c>
      <c r="G8">
        <f>DataEntry!G12</f>
        <v>71</v>
      </c>
      <c r="H8">
        <f>DataEntry!H12</f>
        <v>65</v>
      </c>
      <c r="I8">
        <f>DataEntry!I12</f>
        <v>68</v>
      </c>
      <c r="J8">
        <f>DataEntry!J12</f>
        <v>0</v>
      </c>
      <c r="K8">
        <f>DataEntry!K12</f>
        <v>0</v>
      </c>
      <c r="M8">
        <f>DataEntry!M12</f>
        <v>34.67</v>
      </c>
      <c r="N8">
        <f>DataEntry!C13</f>
        <v>95</v>
      </c>
      <c r="O8">
        <f>DataEntry!D13</f>
        <v>95</v>
      </c>
      <c r="P8">
        <f>DataEntry!E13</f>
        <v>11770</v>
      </c>
      <c r="Q8">
        <f>DataEntry!F13</f>
        <v>76</v>
      </c>
      <c r="R8">
        <f>DataEntry!G13</f>
        <v>61</v>
      </c>
      <c r="S8">
        <f>DataEntry!H13</f>
        <v>63</v>
      </c>
      <c r="T8">
        <f>DataEntry!I13</f>
        <v>67</v>
      </c>
      <c r="U8">
        <f>DataEntry!J13</f>
        <v>45</v>
      </c>
      <c r="V8">
        <f>DataEntry!K13</f>
        <v>0</v>
      </c>
      <c r="X8">
        <f>DataEntry!M13</f>
        <v>38.769999999999996</v>
      </c>
      <c r="Y8">
        <f>DataEntry!N13</f>
        <v>73.44</v>
      </c>
      <c r="Z8">
        <f>DataEntry!O13</f>
        <v>6</v>
      </c>
    </row>
    <row r="9" spans="1:26" x14ac:dyDescent="0.25">
      <c r="A9" t="str">
        <f>DataEntry!A14</f>
        <v>Hilla</v>
      </c>
      <c r="C9">
        <f>DataEntry!C14</f>
        <v>88</v>
      </c>
      <c r="D9">
        <f>DataEntry!D14</f>
        <v>90</v>
      </c>
      <c r="E9">
        <f>DataEntry!E14</f>
        <v>11190</v>
      </c>
      <c r="F9">
        <f>DataEntry!F14</f>
        <v>72</v>
      </c>
      <c r="G9">
        <f>DataEntry!G14</f>
        <v>63</v>
      </c>
      <c r="H9">
        <f>DataEntry!H14</f>
        <v>68</v>
      </c>
      <c r="I9">
        <f>DataEntry!I14</f>
        <v>67</v>
      </c>
      <c r="J9">
        <f>DataEntry!J14</f>
        <v>0</v>
      </c>
      <c r="K9">
        <f>DataEntry!K14</f>
        <v>0</v>
      </c>
      <c r="M9">
        <f>DataEntry!M14</f>
        <v>33.589999999999996</v>
      </c>
      <c r="N9">
        <f>DataEntry!C15</f>
        <v>26</v>
      </c>
      <c r="O9">
        <f>DataEntry!D15</f>
        <v>27</v>
      </c>
      <c r="P9">
        <f>DataEntry!E15</f>
        <v>3635</v>
      </c>
      <c r="Q9">
        <f>DataEntry!F15</f>
        <v>23</v>
      </c>
      <c r="R9">
        <f>DataEntry!G15</f>
        <v>22</v>
      </c>
      <c r="S9">
        <f>DataEntry!H15</f>
        <v>23</v>
      </c>
      <c r="T9">
        <f>DataEntry!I15</f>
        <v>21</v>
      </c>
      <c r="U9">
        <f>DataEntry!J15</f>
        <v>12</v>
      </c>
      <c r="V9">
        <f>DataEntry!K15</f>
        <v>0</v>
      </c>
      <c r="X9">
        <f>DataEntry!M15</f>
        <v>11.984999999999999</v>
      </c>
      <c r="Y9">
        <f>DataEntry!N15</f>
        <v>45.574999999999996</v>
      </c>
      <c r="Z9">
        <f>DataEntry!O15</f>
        <v>9</v>
      </c>
    </row>
    <row r="10" spans="1:26" x14ac:dyDescent="0.25">
      <c r="A10" t="str">
        <f>DataEntry!A16</f>
        <v>Aada</v>
      </c>
      <c r="C10">
        <f>DataEntry!C16</f>
        <v>96</v>
      </c>
      <c r="D10">
        <f>DataEntry!D16</f>
        <v>96</v>
      </c>
      <c r="E10">
        <f>DataEntry!E16</f>
        <v>12340</v>
      </c>
      <c r="F10">
        <f>DataEntry!F16</f>
        <v>71</v>
      </c>
      <c r="G10">
        <f>DataEntry!G16</f>
        <v>66</v>
      </c>
      <c r="H10">
        <f>DataEntry!H16</f>
        <v>64</v>
      </c>
      <c r="I10">
        <f>DataEntry!I16</f>
        <v>64</v>
      </c>
      <c r="J10">
        <f>DataEntry!J16</f>
        <v>0</v>
      </c>
      <c r="K10">
        <f>DataEntry!K16</f>
        <v>0</v>
      </c>
      <c r="M10">
        <f>DataEntry!M16</f>
        <v>34.94</v>
      </c>
      <c r="N10">
        <f>DataEntry!C17</f>
        <v>96</v>
      </c>
      <c r="O10">
        <f>DataEntry!D17</f>
        <v>96</v>
      </c>
      <c r="P10">
        <f>DataEntry!E17</f>
        <v>12320</v>
      </c>
      <c r="Q10">
        <f>DataEntry!F17</f>
        <v>74</v>
      </c>
      <c r="R10">
        <f>DataEntry!G17</f>
        <v>70</v>
      </c>
      <c r="S10">
        <f>DataEntry!H17</f>
        <v>67</v>
      </c>
      <c r="T10">
        <f>DataEntry!I17</f>
        <v>63</v>
      </c>
      <c r="U10">
        <f>DataEntry!J17</f>
        <v>49</v>
      </c>
      <c r="V10">
        <f>DataEntry!K17</f>
        <v>0</v>
      </c>
      <c r="X10">
        <f>DataEntry!M17</f>
        <v>40.519999999999996</v>
      </c>
      <c r="Y10">
        <f>DataEntry!N17</f>
        <v>75.459999999999994</v>
      </c>
      <c r="Z10">
        <f>DataEntry!O17</f>
        <v>5</v>
      </c>
    </row>
    <row r="11" spans="1:26" x14ac:dyDescent="0.25">
      <c r="A11" t="str">
        <f>DataEntry!A18</f>
        <v>Vilma</v>
      </c>
      <c r="C11">
        <f>DataEntry!C18</f>
        <v>97</v>
      </c>
      <c r="D11">
        <f>DataEntry!D18</f>
        <v>98</v>
      </c>
      <c r="E11">
        <f>DataEntry!E18</f>
        <v>10680</v>
      </c>
      <c r="F11">
        <f>DataEntry!F18</f>
        <v>73</v>
      </c>
      <c r="G11">
        <f>DataEntry!G18</f>
        <v>61</v>
      </c>
      <c r="H11">
        <f>DataEntry!H18</f>
        <v>73</v>
      </c>
      <c r="I11">
        <f>DataEntry!I18</f>
        <v>64</v>
      </c>
      <c r="J11">
        <f>DataEntry!J18</f>
        <v>0</v>
      </c>
      <c r="K11">
        <f>DataEntry!K18</f>
        <v>0</v>
      </c>
      <c r="M11">
        <f>DataEntry!M18</f>
        <v>34.129999999999995</v>
      </c>
      <c r="N11">
        <f>DataEntry!C19</f>
        <v>99</v>
      </c>
      <c r="O11">
        <f>DataEntry!D19</f>
        <v>99</v>
      </c>
      <c r="P11">
        <f>DataEntry!E19</f>
        <v>10890</v>
      </c>
      <c r="Q11">
        <f>DataEntry!F19</f>
        <v>70</v>
      </c>
      <c r="R11">
        <f>DataEntry!G19</f>
        <v>57</v>
      </c>
      <c r="S11">
        <f>DataEntry!H19</f>
        <v>58</v>
      </c>
      <c r="T11">
        <f>DataEntry!I19</f>
        <v>59</v>
      </c>
      <c r="U11">
        <f>DataEntry!J19</f>
        <v>44</v>
      </c>
      <c r="V11">
        <f>DataEntry!K19</f>
        <v>0</v>
      </c>
      <c r="X11">
        <f>DataEntry!M19</f>
        <v>36.89</v>
      </c>
      <c r="Y11">
        <f>DataEntry!N19</f>
        <v>71.02</v>
      </c>
      <c r="Z11">
        <f>DataEntry!O19</f>
        <v>8</v>
      </c>
    </row>
    <row r="12" spans="1:26" x14ac:dyDescent="0.25">
      <c r="A12" t="str">
        <f>DataEntry!A20</f>
        <v>Sofia</v>
      </c>
      <c r="C12">
        <f>DataEntry!C20</f>
        <v>99</v>
      </c>
      <c r="D12">
        <f>DataEntry!D20</f>
        <v>94</v>
      </c>
      <c r="E12">
        <f>DataEntry!E20</f>
        <v>13835</v>
      </c>
      <c r="F12">
        <f>DataEntry!F20</f>
        <v>86</v>
      </c>
      <c r="G12">
        <f>DataEntry!G20</f>
        <v>83</v>
      </c>
      <c r="H12">
        <f>DataEntry!H20</f>
        <v>84</v>
      </c>
      <c r="I12">
        <f>DataEntry!I20</f>
        <v>87</v>
      </c>
      <c r="J12">
        <f>DataEntry!J20</f>
        <v>0</v>
      </c>
      <c r="K12">
        <f>DataEntry!K20</f>
        <v>0</v>
      </c>
      <c r="M12">
        <f>DataEntry!M20</f>
        <v>40.484999999999999</v>
      </c>
      <c r="N12">
        <f>DataEntry!C21</f>
        <v>94</v>
      </c>
      <c r="O12">
        <f>DataEntry!D21</f>
        <v>94</v>
      </c>
      <c r="P12">
        <f>DataEntry!E21</f>
        <v>13580</v>
      </c>
      <c r="Q12">
        <f>DataEntry!F21</f>
        <v>82</v>
      </c>
      <c r="R12">
        <f>DataEntry!G21</f>
        <v>82</v>
      </c>
      <c r="S12">
        <f>DataEntry!H21</f>
        <v>78</v>
      </c>
      <c r="T12">
        <f>DataEntry!I21</f>
        <v>82</v>
      </c>
      <c r="U12">
        <f>DataEntry!J21</f>
        <v>46</v>
      </c>
      <c r="V12">
        <f>DataEntry!K21</f>
        <v>0</v>
      </c>
      <c r="X12">
        <f>DataEntry!M21</f>
        <v>43.98</v>
      </c>
      <c r="Y12">
        <f>DataEntry!N21</f>
        <v>84.465000000000003</v>
      </c>
      <c r="Z12">
        <f>DataEntry!O21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0"/>
  <sheetViews>
    <sheetView workbookViewId="0">
      <selection activeCell="F20" sqref="F20"/>
    </sheetView>
  </sheetViews>
  <sheetFormatPr defaultRowHeight="15" x14ac:dyDescent="0.25"/>
  <cols>
    <col min="1" max="1" width="11" bestFit="1" customWidth="1"/>
    <col min="2" max="2" width="11.140625" bestFit="1" customWidth="1"/>
    <col min="3" max="4" width="11.7109375" bestFit="1" customWidth="1"/>
    <col min="5" max="5" width="13.28515625" bestFit="1" customWidth="1"/>
    <col min="6" max="6" width="10.140625" bestFit="1" customWidth="1"/>
    <col min="7" max="9" width="5.28515625" bestFit="1" customWidth="1"/>
    <col min="10" max="10" width="6.5703125" bestFit="1" customWidth="1"/>
    <col min="11" max="11" width="10" bestFit="1" customWidth="1"/>
    <col min="12" max="12" width="11.140625" bestFit="1" customWidth="1"/>
    <col min="13" max="13" width="8.140625" bestFit="1" customWidth="1"/>
    <col min="14" max="15" width="12.7109375" bestFit="1" customWidth="1"/>
    <col min="16" max="16" width="14.28515625" bestFit="1" customWidth="1"/>
    <col min="17" max="17" width="11.140625" bestFit="1" customWidth="1"/>
    <col min="18" max="20" width="6.28515625" bestFit="1" customWidth="1"/>
    <col min="21" max="21" width="8.5703125" bestFit="1" customWidth="1"/>
    <col min="22" max="22" width="12" bestFit="1" customWidth="1"/>
    <col min="23" max="23" width="12.140625" bestFit="1" customWidth="1"/>
    <col min="24" max="24" width="10.140625" bestFit="1" customWidth="1"/>
    <col min="25" max="25" width="7.7109375" bestFit="1" customWidth="1"/>
    <col min="26" max="26" width="7.5703125" bestFit="1" customWidth="1"/>
  </cols>
  <sheetData>
    <row r="1" spans="1:26" x14ac:dyDescent="0.25">
      <c r="A1" s="34" t="s">
        <v>0</v>
      </c>
      <c r="B1" s="34" t="s">
        <v>29</v>
      </c>
      <c r="C1" s="34" t="s">
        <v>42</v>
      </c>
      <c r="D1" s="34" t="s">
        <v>43</v>
      </c>
      <c r="E1" s="34" t="s">
        <v>44</v>
      </c>
      <c r="F1" s="34" t="s">
        <v>45</v>
      </c>
      <c r="G1" s="34" t="s">
        <v>5</v>
      </c>
      <c r="H1" s="34" t="s">
        <v>6</v>
      </c>
      <c r="I1" s="34" t="s">
        <v>7</v>
      </c>
      <c r="J1" s="34" t="s">
        <v>8</v>
      </c>
      <c r="K1" s="34" t="s">
        <v>9</v>
      </c>
      <c r="L1" s="34" t="s">
        <v>30</v>
      </c>
      <c r="M1" s="34" t="s">
        <v>10</v>
      </c>
      <c r="N1" s="34" t="s">
        <v>31</v>
      </c>
      <c r="O1" s="34" t="s">
        <v>32</v>
      </c>
      <c r="P1" s="34" t="s">
        <v>33</v>
      </c>
      <c r="Q1" s="34" t="s">
        <v>34</v>
      </c>
      <c r="R1" s="34" t="s">
        <v>35</v>
      </c>
      <c r="S1" s="34" t="s">
        <v>36</v>
      </c>
      <c r="T1" s="34" t="s">
        <v>37</v>
      </c>
      <c r="U1" s="34" t="s">
        <v>38</v>
      </c>
      <c r="V1" s="34" t="s">
        <v>39</v>
      </c>
      <c r="W1" s="34" t="s">
        <v>40</v>
      </c>
      <c r="X1" s="34" t="s">
        <v>41</v>
      </c>
      <c r="Y1" s="34" t="s">
        <v>11</v>
      </c>
      <c r="Z1" s="34" t="s">
        <v>12</v>
      </c>
    </row>
    <row r="2" spans="1:26" x14ac:dyDescent="0.25">
      <c r="A2" s="34" t="s">
        <v>28</v>
      </c>
      <c r="B2" s="34"/>
      <c r="C2" s="34">
        <v>99</v>
      </c>
      <c r="D2" s="34">
        <v>94</v>
      </c>
      <c r="E2" s="34">
        <v>13835</v>
      </c>
      <c r="F2" s="34">
        <v>86</v>
      </c>
      <c r="G2" s="34">
        <v>83</v>
      </c>
      <c r="H2" s="34">
        <v>84</v>
      </c>
      <c r="I2" s="34">
        <v>87</v>
      </c>
      <c r="J2" s="34">
        <v>0</v>
      </c>
      <c r="K2" s="34">
        <v>0</v>
      </c>
      <c r="L2" s="34"/>
      <c r="M2" s="34">
        <v>40.484999999999999</v>
      </c>
      <c r="N2" s="34">
        <v>94</v>
      </c>
      <c r="O2" s="34">
        <v>94</v>
      </c>
      <c r="P2" s="34">
        <v>13580</v>
      </c>
      <c r="Q2" s="34">
        <v>82</v>
      </c>
      <c r="R2" s="34">
        <v>82</v>
      </c>
      <c r="S2" s="34">
        <v>78</v>
      </c>
      <c r="T2" s="34">
        <v>82</v>
      </c>
      <c r="U2" s="34">
        <v>46</v>
      </c>
      <c r="V2" s="34">
        <v>0</v>
      </c>
      <c r="W2" s="34"/>
      <c r="X2" s="34">
        <v>43.98</v>
      </c>
      <c r="Y2" s="34">
        <v>84.465000000000003</v>
      </c>
      <c r="Z2" s="34">
        <v>1</v>
      </c>
    </row>
    <row r="3" spans="1:26" x14ac:dyDescent="0.25">
      <c r="A3" s="34" t="s">
        <v>13</v>
      </c>
      <c r="B3" s="34"/>
      <c r="C3" s="34">
        <v>96</v>
      </c>
      <c r="D3" s="34">
        <v>95</v>
      </c>
      <c r="E3" s="34">
        <v>12775</v>
      </c>
      <c r="F3" s="34">
        <v>83</v>
      </c>
      <c r="G3" s="34">
        <v>78</v>
      </c>
      <c r="H3" s="34">
        <v>79</v>
      </c>
      <c r="I3" s="34">
        <v>79</v>
      </c>
      <c r="J3" s="34">
        <v>0</v>
      </c>
      <c r="K3" s="34">
        <v>0</v>
      </c>
      <c r="L3" s="34"/>
      <c r="M3" s="34">
        <v>38.125</v>
      </c>
      <c r="N3" s="34">
        <v>99</v>
      </c>
      <c r="O3" s="34">
        <v>96</v>
      </c>
      <c r="P3" s="34">
        <v>12805</v>
      </c>
      <c r="Q3" s="34">
        <v>81</v>
      </c>
      <c r="R3" s="34">
        <v>71</v>
      </c>
      <c r="S3" s="34">
        <v>80</v>
      </c>
      <c r="T3" s="34">
        <v>76</v>
      </c>
      <c r="U3" s="34">
        <v>52</v>
      </c>
      <c r="V3" s="34">
        <v>0</v>
      </c>
      <c r="W3" s="34"/>
      <c r="X3" s="34">
        <v>43.355000000000004</v>
      </c>
      <c r="Y3" s="34">
        <v>81.48</v>
      </c>
      <c r="Z3" s="34">
        <v>2</v>
      </c>
    </row>
    <row r="4" spans="1:26" x14ac:dyDescent="0.25">
      <c r="A4" s="34" t="s">
        <v>20</v>
      </c>
      <c r="B4" s="34"/>
      <c r="C4" s="34">
        <v>91</v>
      </c>
      <c r="D4" s="34">
        <v>89</v>
      </c>
      <c r="E4" s="34">
        <v>12890</v>
      </c>
      <c r="F4" s="34">
        <v>82</v>
      </c>
      <c r="G4" s="34">
        <v>68</v>
      </c>
      <c r="H4" s="34">
        <v>83</v>
      </c>
      <c r="I4" s="34">
        <v>81</v>
      </c>
      <c r="J4" s="34">
        <v>0</v>
      </c>
      <c r="K4" s="34">
        <v>0</v>
      </c>
      <c r="L4" s="34"/>
      <c r="M4" s="34">
        <v>38.19</v>
      </c>
      <c r="N4" s="34">
        <v>98</v>
      </c>
      <c r="O4" s="34">
        <v>97</v>
      </c>
      <c r="P4" s="34">
        <v>12905</v>
      </c>
      <c r="Q4" s="34">
        <v>83</v>
      </c>
      <c r="R4" s="34">
        <v>80</v>
      </c>
      <c r="S4" s="34">
        <v>77</v>
      </c>
      <c r="T4" s="34">
        <v>80</v>
      </c>
      <c r="U4" s="34">
        <v>41</v>
      </c>
      <c r="V4" s="34">
        <v>0</v>
      </c>
      <c r="W4" s="34"/>
      <c r="X4" s="34">
        <v>42.755000000000003</v>
      </c>
      <c r="Y4" s="34">
        <v>80.944999999999993</v>
      </c>
      <c r="Z4" s="34">
        <v>3</v>
      </c>
    </row>
    <row r="5" spans="1:26" x14ac:dyDescent="0.25">
      <c r="A5" s="34" t="s">
        <v>22</v>
      </c>
      <c r="B5" s="34"/>
      <c r="C5" s="34">
        <v>96</v>
      </c>
      <c r="D5" s="34">
        <v>96</v>
      </c>
      <c r="E5" s="34">
        <v>12315</v>
      </c>
      <c r="F5" s="34">
        <v>77</v>
      </c>
      <c r="G5" s="34">
        <v>78</v>
      </c>
      <c r="H5" s="34">
        <v>77</v>
      </c>
      <c r="I5" s="34">
        <v>73</v>
      </c>
      <c r="J5" s="34">
        <v>0</v>
      </c>
      <c r="K5" s="34">
        <v>0</v>
      </c>
      <c r="L5" s="34"/>
      <c r="M5" s="34">
        <v>37.314999999999998</v>
      </c>
      <c r="N5" s="34">
        <v>96</v>
      </c>
      <c r="O5" s="34">
        <v>96</v>
      </c>
      <c r="P5" s="34">
        <v>12475</v>
      </c>
      <c r="Q5" s="34">
        <v>81</v>
      </c>
      <c r="R5" s="34">
        <v>72</v>
      </c>
      <c r="S5" s="34">
        <v>75</v>
      </c>
      <c r="T5" s="34">
        <v>76</v>
      </c>
      <c r="U5" s="34">
        <v>41</v>
      </c>
      <c r="V5" s="34">
        <v>0</v>
      </c>
      <c r="W5" s="34"/>
      <c r="X5" s="34">
        <v>41.274999999999999</v>
      </c>
      <c r="Y5" s="34">
        <v>78.59</v>
      </c>
      <c r="Z5" s="34">
        <v>4</v>
      </c>
    </row>
    <row r="6" spans="1:26" x14ac:dyDescent="0.25">
      <c r="A6" s="34" t="s">
        <v>26</v>
      </c>
      <c r="B6" s="34"/>
      <c r="C6" s="34">
        <v>96</v>
      </c>
      <c r="D6" s="34">
        <v>96</v>
      </c>
      <c r="E6" s="34">
        <v>12340</v>
      </c>
      <c r="F6" s="34">
        <v>71</v>
      </c>
      <c r="G6" s="34">
        <v>66</v>
      </c>
      <c r="H6" s="34">
        <v>64</v>
      </c>
      <c r="I6" s="34">
        <v>64</v>
      </c>
      <c r="J6" s="34">
        <v>0</v>
      </c>
      <c r="K6" s="34">
        <v>0</v>
      </c>
      <c r="L6" s="34"/>
      <c r="M6" s="34">
        <v>34.94</v>
      </c>
      <c r="N6" s="34">
        <v>96</v>
      </c>
      <c r="O6" s="34">
        <v>96</v>
      </c>
      <c r="P6" s="34">
        <v>12320</v>
      </c>
      <c r="Q6" s="34">
        <v>74</v>
      </c>
      <c r="R6" s="34">
        <v>70</v>
      </c>
      <c r="S6" s="34">
        <v>67</v>
      </c>
      <c r="T6" s="34">
        <v>63</v>
      </c>
      <c r="U6" s="34">
        <v>49</v>
      </c>
      <c r="V6" s="34">
        <v>0</v>
      </c>
      <c r="W6" s="34"/>
      <c r="X6" s="34">
        <v>40.519999999999996</v>
      </c>
      <c r="Y6" s="34">
        <v>75.459999999999994</v>
      </c>
      <c r="Z6" s="34">
        <v>5</v>
      </c>
    </row>
    <row r="7" spans="1:26" x14ac:dyDescent="0.25">
      <c r="A7" s="34" t="s">
        <v>23</v>
      </c>
      <c r="B7" s="34"/>
      <c r="C7" s="34">
        <v>92</v>
      </c>
      <c r="D7" s="34">
        <v>92</v>
      </c>
      <c r="E7" s="34">
        <v>11570</v>
      </c>
      <c r="F7" s="34">
        <v>74</v>
      </c>
      <c r="G7" s="34">
        <v>71</v>
      </c>
      <c r="H7" s="34">
        <v>65</v>
      </c>
      <c r="I7" s="34">
        <v>68</v>
      </c>
      <c r="J7" s="34">
        <v>0</v>
      </c>
      <c r="K7" s="34">
        <v>0</v>
      </c>
      <c r="L7" s="34"/>
      <c r="M7" s="34">
        <v>34.67</v>
      </c>
      <c r="N7" s="34">
        <v>95</v>
      </c>
      <c r="O7" s="34">
        <v>95</v>
      </c>
      <c r="P7" s="34">
        <v>11770</v>
      </c>
      <c r="Q7" s="34">
        <v>76</v>
      </c>
      <c r="R7" s="34">
        <v>61</v>
      </c>
      <c r="S7" s="34">
        <v>63</v>
      </c>
      <c r="T7" s="34">
        <v>67</v>
      </c>
      <c r="U7" s="34">
        <v>45</v>
      </c>
      <c r="V7" s="34">
        <v>0</v>
      </c>
      <c r="W7" s="34"/>
      <c r="X7" s="34">
        <v>38.769999999999996</v>
      </c>
      <c r="Y7" s="34">
        <v>73.44</v>
      </c>
      <c r="Z7" s="34">
        <v>6</v>
      </c>
    </row>
    <row r="8" spans="1:26" x14ac:dyDescent="0.25">
      <c r="A8" s="34" t="s">
        <v>18</v>
      </c>
      <c r="B8" s="34"/>
      <c r="C8" s="34">
        <v>93</v>
      </c>
      <c r="D8" s="34">
        <v>93</v>
      </c>
      <c r="E8" s="34">
        <v>11085</v>
      </c>
      <c r="F8" s="34">
        <v>72</v>
      </c>
      <c r="G8" s="34">
        <v>66</v>
      </c>
      <c r="H8" s="34">
        <v>65</v>
      </c>
      <c r="I8" s="34">
        <v>67</v>
      </c>
      <c r="J8" s="34">
        <v>0</v>
      </c>
      <c r="K8" s="34">
        <v>0</v>
      </c>
      <c r="L8" s="34"/>
      <c r="M8" s="34">
        <v>33.685000000000002</v>
      </c>
      <c r="N8" s="34">
        <v>93</v>
      </c>
      <c r="O8" s="34">
        <v>91</v>
      </c>
      <c r="P8" s="34">
        <v>10905</v>
      </c>
      <c r="Q8" s="34">
        <v>74</v>
      </c>
      <c r="R8" s="34">
        <v>65</v>
      </c>
      <c r="S8" s="34">
        <v>72</v>
      </c>
      <c r="T8" s="34">
        <v>70</v>
      </c>
      <c r="U8" s="34">
        <v>41</v>
      </c>
      <c r="V8" s="34">
        <v>0</v>
      </c>
      <c r="W8" s="34"/>
      <c r="X8" s="34">
        <v>38.405000000000001</v>
      </c>
      <c r="Y8" s="34">
        <v>72.09</v>
      </c>
      <c r="Z8" s="34">
        <v>7</v>
      </c>
    </row>
    <row r="9" spans="1:26" x14ac:dyDescent="0.25">
      <c r="A9" s="34" t="s">
        <v>27</v>
      </c>
      <c r="B9" s="34"/>
      <c r="C9" s="34">
        <v>97</v>
      </c>
      <c r="D9" s="34">
        <v>98</v>
      </c>
      <c r="E9" s="34">
        <v>10680</v>
      </c>
      <c r="F9" s="34">
        <v>73</v>
      </c>
      <c r="G9" s="34">
        <v>61</v>
      </c>
      <c r="H9" s="34">
        <v>73</v>
      </c>
      <c r="I9" s="34">
        <v>64</v>
      </c>
      <c r="J9" s="34">
        <v>0</v>
      </c>
      <c r="K9" s="34">
        <v>0</v>
      </c>
      <c r="L9" s="34"/>
      <c r="M9" s="34">
        <v>34.129999999999995</v>
      </c>
      <c r="N9" s="34">
        <v>99</v>
      </c>
      <c r="O9" s="34">
        <v>99</v>
      </c>
      <c r="P9" s="34">
        <v>10890</v>
      </c>
      <c r="Q9" s="34">
        <v>70</v>
      </c>
      <c r="R9" s="34">
        <v>57</v>
      </c>
      <c r="S9" s="34">
        <v>58</v>
      </c>
      <c r="T9" s="34">
        <v>59</v>
      </c>
      <c r="U9" s="34">
        <v>44</v>
      </c>
      <c r="V9" s="34">
        <v>0</v>
      </c>
      <c r="W9" s="34"/>
      <c r="X9" s="34">
        <v>36.89</v>
      </c>
      <c r="Y9" s="34">
        <v>71.02</v>
      </c>
      <c r="Z9" s="34">
        <v>8</v>
      </c>
    </row>
    <row r="10" spans="1:26" x14ac:dyDescent="0.25">
      <c r="A10" s="34" t="s">
        <v>24</v>
      </c>
      <c r="B10" s="34"/>
      <c r="C10" s="34">
        <v>88</v>
      </c>
      <c r="D10" s="34">
        <v>90</v>
      </c>
      <c r="E10" s="34">
        <v>11190</v>
      </c>
      <c r="F10" s="34">
        <v>72</v>
      </c>
      <c r="G10" s="34">
        <v>63</v>
      </c>
      <c r="H10" s="34">
        <v>68</v>
      </c>
      <c r="I10" s="34">
        <v>67</v>
      </c>
      <c r="J10" s="34">
        <v>0</v>
      </c>
      <c r="K10" s="34">
        <v>0</v>
      </c>
      <c r="L10" s="34"/>
      <c r="M10" s="34">
        <v>33.589999999999996</v>
      </c>
      <c r="N10" s="34">
        <v>26</v>
      </c>
      <c r="O10" s="34">
        <v>27</v>
      </c>
      <c r="P10" s="34">
        <v>3635</v>
      </c>
      <c r="Q10" s="34">
        <v>23</v>
      </c>
      <c r="R10" s="34">
        <v>22</v>
      </c>
      <c r="S10" s="34">
        <v>23</v>
      </c>
      <c r="T10" s="34">
        <v>21</v>
      </c>
      <c r="U10" s="34">
        <v>12</v>
      </c>
      <c r="V10" s="34">
        <v>0</v>
      </c>
      <c r="W10" s="34"/>
      <c r="X10" s="34">
        <v>11.984999999999999</v>
      </c>
      <c r="Y10" s="34">
        <v>45.574999999999996</v>
      </c>
      <c r="Z10" s="34"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C857C2-F300-4C40-ADED-75834B80D7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DataEntry</vt:lpstr>
      <vt:lpstr>DataRows</vt:lpstr>
      <vt:lpstr>Results</vt:lpstr>
      <vt:lpstr>Kilpailija</vt:lpstr>
      <vt:lpstr>LK3Tytöt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Petri</dc:creator>
  <cp:lastModifiedBy>Petri Niiranen</cp:lastModifiedBy>
  <dcterms:created xsi:type="dcterms:W3CDTF">2017-04-01T17:31:39Z</dcterms:created>
  <dcterms:modified xsi:type="dcterms:W3CDTF">2017-04-03T07:27:42Z</dcterms:modified>
</cp:coreProperties>
</file>